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3" sheetId="5" r:id="rId1"/>
    <sheet name="Лист5" sheetId="6" r:id="rId2"/>
    <sheet name="Лист7" sheetId="8" r:id="rId3"/>
    <sheet name="Лист4" sheetId="4" r:id="rId4"/>
    <sheet name="Лист2" sheetId="2" r:id="rId5"/>
  </sheets>
  <definedNames>
    <definedName name="ExternalData_1" localSheetId="4" hidden="1">Лист2!$A$1:$C$17</definedName>
  </definedNames>
  <calcPr calcId="162913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8" l="1"/>
  <c r="C19" i="8"/>
  <c r="C21" i="8"/>
  <c r="C20" i="8"/>
  <c r="C18" i="6"/>
  <c r="C21" i="6"/>
  <c r="C19" i="6"/>
  <c r="C20" i="6"/>
  <c r="C18" i="5"/>
  <c r="C21" i="5"/>
  <c r="C19" i="5"/>
  <c r="C20" i="5"/>
  <c r="P2" i="2" l="1"/>
  <c r="O2" i="2"/>
  <c r="N2" i="2"/>
  <c r="M2" i="2"/>
  <c r="L2" i="2"/>
  <c r="E11" i="2"/>
  <c r="E9" i="2"/>
  <c r="E13" i="2"/>
  <c r="E16" i="2"/>
  <c r="E6" i="2"/>
  <c r="E12" i="2"/>
  <c r="E4" i="2"/>
  <c r="E3" i="2"/>
  <c r="E2" i="2"/>
  <c r="E14" i="2"/>
  <c r="E17" i="2"/>
  <c r="E15" i="2"/>
  <c r="E7" i="2"/>
  <c r="E8" i="2"/>
  <c r="E10" i="2"/>
  <c r="E5" i="2"/>
  <c r="D11" i="2"/>
  <c r="D9" i="2"/>
  <c r="D13" i="2"/>
  <c r="D16" i="2"/>
  <c r="D6" i="2"/>
  <c r="D12" i="2"/>
  <c r="D4" i="2"/>
  <c r="D3" i="2"/>
  <c r="D2" i="2"/>
  <c r="D14" i="2"/>
  <c r="D17" i="2"/>
  <c r="D15" i="2"/>
  <c r="D7" i="2"/>
  <c r="D8" i="2"/>
  <c r="D10" i="2"/>
  <c r="D5" i="2"/>
  <c r="D20" i="8"/>
  <c r="D19" i="8"/>
  <c r="D18" i="8"/>
  <c r="E18" i="8"/>
  <c r="E20" i="8"/>
  <c r="E19" i="8"/>
  <c r="E21" i="8"/>
  <c r="D21" i="8"/>
  <c r="D20" i="6"/>
  <c r="E21" i="6"/>
  <c r="E19" i="6"/>
  <c r="E20" i="6"/>
  <c r="D21" i="6"/>
  <c r="D18" i="6"/>
  <c r="E18" i="6"/>
  <c r="D19" i="6"/>
  <c r="D19" i="5"/>
  <c r="D18" i="5"/>
  <c r="E19" i="5"/>
  <c r="E18" i="5"/>
  <c r="D20" i="5"/>
  <c r="D21" i="5"/>
  <c r="E20" i="5"/>
  <c r="E21" i="5"/>
</calcChain>
</file>

<file path=xl/connections.xml><?xml version="1.0" encoding="utf-8"?>
<connections xmlns="http://schemas.openxmlformats.org/spreadsheetml/2006/main">
  <connection id="1" keepAlive="1" name="Запрос — item" description="Соединение с запросом &quot;item&quot; в книге." type="5" refreshedVersion="6" background="1" saveData="1">
    <dbPr connection="Provider=Microsoft.Mashup.OleDb.1;Data Source=$Workbook$;Location=item;Extended Properties=&quot;&quot;" command="SELECT * FROM [item]"/>
  </connection>
  <connection id="2" keepAlive="1" name="Запрос — item (2)" description="Соединение с запросом &quot;item (2)&quot; в книге." type="5" refreshedVersion="6" background="1" saveData="1">
    <dbPr connection="Provider=Microsoft.Mashup.OleDb.1;Data Source=$Workbook$;Location=&quot;item (2)&quot;" command="SELECT * FROM [item (2)]"/>
  </connection>
</connections>
</file>

<file path=xl/sharedStrings.xml><?xml version="1.0" encoding="utf-8"?>
<sst xmlns="http://schemas.openxmlformats.org/spreadsheetml/2006/main" count="68" uniqueCount="45">
  <si>
    <t>store_name</t>
  </si>
  <si>
    <t>product_name</t>
  </si>
  <si>
    <t>price</t>
  </si>
  <si>
    <t>ALLO.ua</t>
  </si>
  <si>
    <t>Холодильник з морозильною камерою Indesit LI6 S1E W</t>
  </si>
  <si>
    <t>Морозильна камера Liebherr G 1213</t>
  </si>
  <si>
    <t>bsh-BS.in.ua</t>
  </si>
  <si>
    <t>Холодильник з морозильною камерою Bosch KGN49XI30U</t>
  </si>
  <si>
    <t>Холодильник з морозильною камерою Liebherr CU 2831</t>
  </si>
  <si>
    <t>COMFY.UA</t>
  </si>
  <si>
    <t>Холодильник з морозильною камерою Whirlpool WHC20 T593 P</t>
  </si>
  <si>
    <t>Холодильник з морозильною камерою Whirlpool WHC20 T593</t>
  </si>
  <si>
    <t>SIMPLTEHNIKA</t>
  </si>
  <si>
    <t>Холодильник з морозильною камерою Bosch KIS87AFE0</t>
  </si>
  <si>
    <t>STYLUS</t>
  </si>
  <si>
    <t>Холодильник з морозильною камерою Amica FD2355.4</t>
  </si>
  <si>
    <t>ТЕХНОточка</t>
  </si>
  <si>
    <t>Холодильна камера Beko TS190020</t>
  </si>
  <si>
    <t>Холодильник з морозильною камерою Vivax CF-174 LF S</t>
  </si>
  <si>
    <t>Холодильник з морозильною камерою Bosch KGN39VL316</t>
  </si>
  <si>
    <t>Холодильник з морозильною камерою Gorenje NRK6202AXL4</t>
  </si>
  <si>
    <t>Холодильник з морозильною камерою Hitachi R-H330PUC7PWH</t>
  </si>
  <si>
    <t>Панда</t>
  </si>
  <si>
    <t>Холодильник з морозильною камерою Samsung BRB307054WW</t>
  </si>
  <si>
    <t xml:space="preserve">Холодильник з морозильною камерою Liebherr CU 2831
    </t>
  </si>
  <si>
    <t xml:space="preserve">Холодильник з морозильною камерою Bosch KGN39VW316
    </t>
  </si>
  <si>
    <t>USD</t>
  </si>
  <si>
    <t>EUR</t>
  </si>
  <si>
    <t>UAH/USD</t>
  </si>
  <si>
    <t>UAH/EUR</t>
  </si>
  <si>
    <t>Кількість</t>
  </si>
  <si>
    <t>Сума</t>
  </si>
  <si>
    <t>Середнє</t>
  </si>
  <si>
    <t>Максимальне</t>
  </si>
  <si>
    <t>Мінімальне</t>
  </si>
  <si>
    <t>day</t>
  </si>
  <si>
    <t>Временная шкала</t>
  </si>
  <si>
    <t>Значения</t>
  </si>
  <si>
    <t>Прогноз</t>
  </si>
  <si>
    <t>Привязка низкой вероятности</t>
  </si>
  <si>
    <t>Привязка высокой вероятности</t>
  </si>
  <si>
    <t>Прогноз(price)</t>
  </si>
  <si>
    <t>Привязка низкой вероятности(price)</t>
  </si>
  <si>
    <t>Привязка высокой вероятности(price)</t>
  </si>
  <si>
    <t>Кількість product_name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</si>
</sst>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₴&quot;"/>
    <numFmt numFmtId="165" formatCode="[$$-409]#,##0.00"/>
    <numFmt numFmtId="166" formatCode="#,##0.00\ [$€-1]"/>
  </numFmts>
  <fonts count="2" x14ac:knownFonts="1">
    <font>
      <sz val="11"/>
      <color theme="1"/>
      <name val="Calibri"/>
      <family val="2"/>
      <scheme val="minor"/>
    </font>
    <font>
      <sz val="11"/>
      <color rgb="FF3C4043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0" fontId="0" fillId="0" borderId="0" xfId="0" applyNumberFormat="1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0" fontId="0" fillId="0" borderId="0" xfId="0" pivotButton="1"/>
    <xf numFmtId="14" fontId="0" fillId="0" borderId="0" xfId="0" applyNumberFormat="1"/>
    <xf numFmtId="164" fontId="0" fillId="0" borderId="0" xfId="0" applyNumberFormat="1"/>
  </cellXfs>
  <cellStyles count="1">
    <cellStyle name="Обычный" xfId="0" builtinId="0"/>
  </cellStyles>
  <dxfs count="17">
    <dxf>
      <numFmt numFmtId="164" formatCode="#,##0.00\ &quot;₴&quot;"/>
    </dxf>
    <dxf>
      <numFmt numFmtId="164" formatCode="#,##0.00\ &quot;₴&quot;"/>
    </dxf>
    <dxf>
      <numFmt numFmtId="164" formatCode="#,##0.00\ &quot;₴&quot;"/>
    </dxf>
    <dxf>
      <numFmt numFmtId="19" formatCode="dd/mm/yyyy"/>
    </dxf>
    <dxf>
      <numFmt numFmtId="164" formatCode="#,##0.00\ &quot;₴&quot;"/>
    </dxf>
    <dxf>
      <numFmt numFmtId="164" formatCode="#,##0.00\ &quot;₴&quot;"/>
    </dxf>
    <dxf>
      <numFmt numFmtId="164" formatCode="#,##0.00\ &quot;₴&quot;"/>
    </dxf>
    <dxf>
      <numFmt numFmtId="19" formatCode="dd/mm/yyyy"/>
    </dxf>
    <dxf>
      <numFmt numFmtId="164" formatCode="#,##0.00\ &quot;₴&quot;"/>
    </dxf>
    <dxf>
      <numFmt numFmtId="164" formatCode="#,##0.00\ &quot;₴&quot;"/>
    </dxf>
    <dxf>
      <numFmt numFmtId="164" formatCode="#,##0.00\ &quot;₴&quot;"/>
    </dxf>
    <dxf>
      <numFmt numFmtId="19" formatCode="dd/mm/yyyy"/>
    </dxf>
    <dxf>
      <numFmt numFmtId="166" formatCode="#,##0.00\ [$€-1]"/>
    </dxf>
    <dxf>
      <numFmt numFmtId="165" formatCode="[$$-409]#,##0.00"/>
    </dxf>
    <dxf>
      <numFmt numFmtId="164" formatCode="#,##0.00\ &quot;₴&quot;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Лист3!$B$1</c:f>
              <c:strCache>
                <c:ptCount val="1"/>
                <c:pt idx="0">
                  <c:v>Значения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Лист3!$B$2:$B$21</c:f>
              <c:numCache>
                <c:formatCode>#\ ##0.00\ "₴"</c:formatCode>
                <c:ptCount val="20"/>
                <c:pt idx="0">
                  <c:v>17599</c:v>
                </c:pt>
                <c:pt idx="1">
                  <c:v>26399</c:v>
                </c:pt>
                <c:pt idx="2">
                  <c:v>14499</c:v>
                </c:pt>
                <c:pt idx="3">
                  <c:v>11199</c:v>
                </c:pt>
                <c:pt idx="4">
                  <c:v>35799</c:v>
                </c:pt>
                <c:pt idx="5">
                  <c:v>17599</c:v>
                </c:pt>
                <c:pt idx="6">
                  <c:v>40699</c:v>
                </c:pt>
                <c:pt idx="7">
                  <c:v>44999</c:v>
                </c:pt>
                <c:pt idx="8">
                  <c:v>46999</c:v>
                </c:pt>
                <c:pt idx="9">
                  <c:v>12955</c:v>
                </c:pt>
                <c:pt idx="10">
                  <c:v>6690</c:v>
                </c:pt>
                <c:pt idx="11">
                  <c:v>11399</c:v>
                </c:pt>
                <c:pt idx="12">
                  <c:v>26799</c:v>
                </c:pt>
                <c:pt idx="13">
                  <c:v>26594</c:v>
                </c:pt>
                <c:pt idx="14">
                  <c:v>21999</c:v>
                </c:pt>
                <c:pt idx="15">
                  <c:v>36455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7-4DB9-8BF6-6F50A2980018}"/>
            </c:ext>
          </c:extLst>
        </c:ser>
        <c:ser>
          <c:idx val="1"/>
          <c:order val="1"/>
          <c:tx>
            <c:strRef>
              <c:f>Лист3!$C$1</c:f>
              <c:strCache>
                <c:ptCount val="1"/>
                <c:pt idx="0">
                  <c:v>Прогноз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Лист3!$A$2:$A$21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Лист3!$C$2:$C$21</c:f>
              <c:numCache>
                <c:formatCode>General</c:formatCode>
                <c:ptCount val="20"/>
                <c:pt idx="15" formatCode="#\ ##0.00\ &quot;₴&quot;">
                  <c:v>36455</c:v>
                </c:pt>
                <c:pt idx="16" formatCode="#\ ##0.00\ &quot;₴&quot;">
                  <c:v>26548.425155451812</c:v>
                </c:pt>
                <c:pt idx="17" formatCode="#\ ##0.00\ &quot;₴&quot;">
                  <c:v>26871.231392320533</c:v>
                </c:pt>
                <c:pt idx="18" formatCode="#\ ##0.00\ &quot;₴&quot;">
                  <c:v>27194.037629189272</c:v>
                </c:pt>
                <c:pt idx="19" formatCode="#\ ##0.00\ &quot;₴&quot;">
                  <c:v>27516.843866057996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7-4DB9-8BF6-6F50A2980018}"/>
            </c:ext>
          </c:extLst>
        </c:ser>
        <c:ser>
          <c:idx val="2"/>
          <c:order val="2"/>
          <c:tx>
            <c:strRef>
              <c:f>Лист3!$D$1</c:f>
              <c:strCache>
                <c:ptCount val="1"/>
                <c:pt idx="0">
                  <c:v>Привязка низкой вероятности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Лист3!$A$2:$A$21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Лист3!$D$2:$D$21</c:f>
              <c:numCache>
                <c:formatCode>General</c:formatCode>
                <c:ptCount val="20"/>
                <c:pt idx="15" formatCode="#\ ##0.00\ &quot;₴&quot;">
                  <c:v>36455</c:v>
                </c:pt>
                <c:pt idx="16" formatCode="#\ ##0.00\ &quot;₴&quot;">
                  <c:v>632.80901410345177</c:v>
                </c:pt>
                <c:pt idx="17" formatCode="#\ ##0.00\ &quot;₴&quot;">
                  <c:v>823.76804103179165</c:v>
                </c:pt>
                <c:pt idx="18" formatCode="#\ ##0.00\ &quot;₴&quot;">
                  <c:v>1012.7872240382349</c:v>
                </c:pt>
                <c:pt idx="19" formatCode="#\ ##0.00\ &quot;₴&quot;">
                  <c:v>1199.8706273758944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F7-4DB9-8BF6-6F50A2980018}"/>
            </c:ext>
          </c:extLst>
        </c:ser>
        <c:ser>
          <c:idx val="3"/>
          <c:order val="3"/>
          <c:tx>
            <c:strRef>
              <c:f>Лист3!$E$1</c:f>
              <c:strCache>
                <c:ptCount val="1"/>
                <c:pt idx="0">
                  <c:v>Привязка высокой вероятности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Лист3!$A$2:$A$21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Лист3!$E$2:$E$21</c:f>
              <c:numCache>
                <c:formatCode>General</c:formatCode>
                <c:ptCount val="20"/>
                <c:pt idx="15" formatCode="#\ ##0.00\ &quot;₴&quot;">
                  <c:v>36455</c:v>
                </c:pt>
                <c:pt idx="16" formatCode="#\ ##0.00\ &quot;₴&quot;">
                  <c:v>52464.041296800176</c:v>
                </c:pt>
                <c:pt idx="17" formatCode="#\ ##0.00\ &quot;₴&quot;">
                  <c:v>52918.694743609274</c:v>
                </c:pt>
                <c:pt idx="18" formatCode="#\ ##0.00\ &quot;₴&quot;">
                  <c:v>53375.288034340309</c:v>
                </c:pt>
                <c:pt idx="19" formatCode="#\ ##0.00\ &quot;₴&quot;">
                  <c:v>53833.817104740097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F7-4DB9-8BF6-6F50A2980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6931808"/>
        <c:axId val="686934432"/>
      </c:lineChart>
      <c:catAx>
        <c:axId val="68693180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686934432"/>
        <c:crosses val="autoZero"/>
        <c:auto val="1"/>
        <c:lblAlgn val="ctr"/>
        <c:lblOffset val="100"/>
        <c:noMultiLvlLbl val="0"/>
      </c:catAx>
      <c:valAx>
        <c:axId val="68693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\ &quot;₴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68693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Лист5!$B$1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Лист5!$B$2:$B$21</c:f>
              <c:numCache>
                <c:formatCode>#\ ##0.00\ "₴"</c:formatCode>
                <c:ptCount val="20"/>
                <c:pt idx="0">
                  <c:v>6690</c:v>
                </c:pt>
                <c:pt idx="1">
                  <c:v>11199</c:v>
                </c:pt>
                <c:pt idx="2">
                  <c:v>11399</c:v>
                </c:pt>
                <c:pt idx="3">
                  <c:v>12955</c:v>
                </c:pt>
                <c:pt idx="4">
                  <c:v>14499</c:v>
                </c:pt>
                <c:pt idx="5">
                  <c:v>17599</c:v>
                </c:pt>
                <c:pt idx="6">
                  <c:v>17599</c:v>
                </c:pt>
                <c:pt idx="7">
                  <c:v>21999</c:v>
                </c:pt>
                <c:pt idx="8">
                  <c:v>26399</c:v>
                </c:pt>
                <c:pt idx="9">
                  <c:v>26594</c:v>
                </c:pt>
                <c:pt idx="10">
                  <c:v>26799</c:v>
                </c:pt>
                <c:pt idx="11">
                  <c:v>35799</c:v>
                </c:pt>
                <c:pt idx="12">
                  <c:v>36455</c:v>
                </c:pt>
                <c:pt idx="13">
                  <c:v>40699</c:v>
                </c:pt>
                <c:pt idx="14">
                  <c:v>44999</c:v>
                </c:pt>
                <c:pt idx="15">
                  <c:v>46999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14-4748-B244-9D09ECBA2524}"/>
            </c:ext>
          </c:extLst>
        </c:ser>
        <c:ser>
          <c:idx val="1"/>
          <c:order val="1"/>
          <c:tx>
            <c:strRef>
              <c:f>Лист5!$C$1</c:f>
              <c:strCache>
                <c:ptCount val="1"/>
                <c:pt idx="0">
                  <c:v>Прогноз(price)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Лист5!$A$2:$A$21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Лист5!$C$2:$C$21</c:f>
              <c:numCache>
                <c:formatCode>General</c:formatCode>
                <c:ptCount val="20"/>
                <c:pt idx="15" formatCode="#\ ##0.00\ &quot;₴&quot;">
                  <c:v>46999</c:v>
                </c:pt>
                <c:pt idx="16" formatCode="#\ ##0.00\ &quot;₴&quot;">
                  <c:v>51195.586237006188</c:v>
                </c:pt>
                <c:pt idx="17" formatCode="#\ ##0.00\ &quot;₴&quot;">
                  <c:v>54411.028473724429</c:v>
                </c:pt>
                <c:pt idx="18" formatCode="#\ ##0.00\ &quot;₴&quot;">
                  <c:v>57626.470710442663</c:v>
                </c:pt>
                <c:pt idx="19" formatCode="#\ ##0.00\ &quot;₴&quot;">
                  <c:v>60841.912947160898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14-4748-B244-9D09ECBA2524}"/>
            </c:ext>
          </c:extLst>
        </c:ser>
        <c:ser>
          <c:idx val="2"/>
          <c:order val="2"/>
          <c:tx>
            <c:strRef>
              <c:f>Лист5!$D$1</c:f>
              <c:strCache>
                <c:ptCount val="1"/>
                <c:pt idx="0">
                  <c:v>Привязка низкой вероятности(price)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Лист5!$A$2:$A$21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Лист5!$D$2:$D$21</c:f>
              <c:numCache>
                <c:formatCode>General</c:formatCode>
                <c:ptCount val="20"/>
                <c:pt idx="15" formatCode="#\ ##0.00\ &quot;₴&quot;">
                  <c:v>46999</c:v>
                </c:pt>
                <c:pt idx="16" formatCode="#\ ##0.00\ &quot;₴&quot;">
                  <c:v>46378.233192710104</c:v>
                </c:pt>
                <c:pt idx="17" formatCode="#\ ##0.00\ &quot;₴&quot;">
                  <c:v>47601.66799472487</c:v>
                </c:pt>
                <c:pt idx="18" formatCode="#\ ##0.00\ &quot;₴&quot;">
                  <c:v>47704.588584881654</c:v>
                </c:pt>
                <c:pt idx="19" formatCode="#\ ##0.00\ &quot;₴&quot;">
                  <c:v>47021.89006350204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14-4748-B244-9D09ECBA2524}"/>
            </c:ext>
          </c:extLst>
        </c:ser>
        <c:ser>
          <c:idx val="3"/>
          <c:order val="3"/>
          <c:tx>
            <c:strRef>
              <c:f>Лист5!$E$1</c:f>
              <c:strCache>
                <c:ptCount val="1"/>
                <c:pt idx="0">
                  <c:v>Привязка высокой вероятности(price)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Лист5!$A$2:$A$21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Лист5!$E$2:$E$21</c:f>
              <c:numCache>
                <c:formatCode>General</c:formatCode>
                <c:ptCount val="20"/>
                <c:pt idx="15" formatCode="#\ ##0.00\ &quot;₴&quot;">
                  <c:v>46999</c:v>
                </c:pt>
                <c:pt idx="16" formatCode="#\ ##0.00\ &quot;₴&quot;">
                  <c:v>56012.939281302271</c:v>
                </c:pt>
                <c:pt idx="17" formatCode="#\ ##0.00\ &quot;₴&quot;">
                  <c:v>61220.388952723988</c:v>
                </c:pt>
                <c:pt idx="18" formatCode="#\ ##0.00\ &quot;₴&quot;">
                  <c:v>67548.352836003673</c:v>
                </c:pt>
                <c:pt idx="19" formatCode="#\ ##0.00\ &quot;₴&quot;">
                  <c:v>74661.935830819755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14-4748-B244-9D09ECBA2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6870560"/>
        <c:axId val="576867280"/>
      </c:lineChart>
      <c:catAx>
        <c:axId val="576870560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76867280"/>
        <c:crosses val="autoZero"/>
        <c:auto val="1"/>
        <c:lblAlgn val="ctr"/>
        <c:lblOffset val="100"/>
        <c:noMultiLvlLbl val="0"/>
      </c:catAx>
      <c:valAx>
        <c:axId val="57686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\ &quot;₴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7687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Лист7!$B$1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Лист7!$B$2:$B$21</c:f>
              <c:numCache>
                <c:formatCode>#\ ##0.00\ "₴"</c:formatCode>
                <c:ptCount val="20"/>
                <c:pt idx="0">
                  <c:v>46999</c:v>
                </c:pt>
                <c:pt idx="1">
                  <c:v>44999</c:v>
                </c:pt>
                <c:pt idx="2">
                  <c:v>40699</c:v>
                </c:pt>
                <c:pt idx="3">
                  <c:v>36455</c:v>
                </c:pt>
                <c:pt idx="4">
                  <c:v>35799</c:v>
                </c:pt>
                <c:pt idx="5">
                  <c:v>26799</c:v>
                </c:pt>
                <c:pt idx="6">
                  <c:v>26594</c:v>
                </c:pt>
                <c:pt idx="7">
                  <c:v>26399</c:v>
                </c:pt>
                <c:pt idx="8">
                  <c:v>21999</c:v>
                </c:pt>
                <c:pt idx="9">
                  <c:v>17599</c:v>
                </c:pt>
                <c:pt idx="10">
                  <c:v>17599</c:v>
                </c:pt>
                <c:pt idx="11">
                  <c:v>14499</c:v>
                </c:pt>
                <c:pt idx="12">
                  <c:v>12955</c:v>
                </c:pt>
                <c:pt idx="13">
                  <c:v>11399</c:v>
                </c:pt>
                <c:pt idx="14">
                  <c:v>11199</c:v>
                </c:pt>
                <c:pt idx="15">
                  <c:v>6690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E-49A3-9FF2-F2FAA96EFD48}"/>
            </c:ext>
          </c:extLst>
        </c:ser>
        <c:ser>
          <c:idx val="1"/>
          <c:order val="1"/>
          <c:tx>
            <c:strRef>
              <c:f>Лист7!$C$1</c:f>
              <c:strCache>
                <c:ptCount val="1"/>
                <c:pt idx="0">
                  <c:v>Прогноз(price)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Лист7!$A$2:$A$21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Лист7!$C$2:$C$21</c:f>
              <c:numCache>
                <c:formatCode>General</c:formatCode>
                <c:ptCount val="20"/>
                <c:pt idx="15" formatCode="#\ ##0.00\ &quot;₴&quot;">
                  <c:v>6690</c:v>
                </c:pt>
                <c:pt idx="16" formatCode="#\ ##0.00\ &quot;₴&quot;">
                  <c:v>2740.7427355855671</c:v>
                </c:pt>
                <c:pt idx="17" formatCode="#\ ##0.00\ &quot;₴&quot;">
                  <c:v>74.448460910892308</c:v>
                </c:pt>
                <c:pt idx="18" formatCode="#\ ##0.00\ &quot;₴&quot;">
                  <c:v>-2591.845813763779</c:v>
                </c:pt>
                <c:pt idx="19" formatCode="#\ ##0.00\ &quot;₴&quot;">
                  <c:v>-5258.1400884384539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7E-49A3-9FF2-F2FAA96EFD48}"/>
            </c:ext>
          </c:extLst>
        </c:ser>
        <c:ser>
          <c:idx val="2"/>
          <c:order val="2"/>
          <c:tx>
            <c:strRef>
              <c:f>Лист7!$D$1</c:f>
              <c:strCache>
                <c:ptCount val="1"/>
                <c:pt idx="0">
                  <c:v>Привязка низкой вероятности(price)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Лист7!$A$2:$A$21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Лист7!$D$2:$D$21</c:f>
              <c:numCache>
                <c:formatCode>General</c:formatCode>
                <c:ptCount val="20"/>
                <c:pt idx="15" formatCode="#\ ##0.00\ &quot;₴&quot;">
                  <c:v>6690</c:v>
                </c:pt>
                <c:pt idx="16" formatCode="#\ ##0.00\ &quot;₴&quot;">
                  <c:v>-2103.0811821615007</c:v>
                </c:pt>
                <c:pt idx="17" formatCode="#\ ##0.00\ &quot;₴&quot;">
                  <c:v>-4808.2822205588136</c:v>
                </c:pt>
                <c:pt idx="18" formatCode="#\ ##0.00\ &quot;₴&quot;">
                  <c:v>-7513.7835053726394</c:v>
                </c:pt>
                <c:pt idx="19" formatCode="#\ ##0.00\ &quot;₴&quot;">
                  <c:v>-10219.582647648611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7E-49A3-9FF2-F2FAA96EFD48}"/>
            </c:ext>
          </c:extLst>
        </c:ser>
        <c:ser>
          <c:idx val="3"/>
          <c:order val="3"/>
          <c:tx>
            <c:strRef>
              <c:f>Лист7!$E$1</c:f>
              <c:strCache>
                <c:ptCount val="1"/>
                <c:pt idx="0">
                  <c:v>Привязка высокой вероятности(price)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Лист7!$A$2:$A$21</c:f>
              <c:numCache>
                <c:formatCode>m/d/yyyy</c:formatCode>
                <c:ptCount val="20"/>
                <c:pt idx="0">
                  <c:v>45055</c:v>
                </c:pt>
                <c:pt idx="1">
                  <c:v>45056</c:v>
                </c:pt>
                <c:pt idx="2">
                  <c:v>45057</c:v>
                </c:pt>
                <c:pt idx="3">
                  <c:v>45058</c:v>
                </c:pt>
                <c:pt idx="4">
                  <c:v>45059</c:v>
                </c:pt>
                <c:pt idx="5">
                  <c:v>45060</c:v>
                </c:pt>
                <c:pt idx="6">
                  <c:v>45061</c:v>
                </c:pt>
                <c:pt idx="7">
                  <c:v>45062</c:v>
                </c:pt>
                <c:pt idx="8">
                  <c:v>45063</c:v>
                </c:pt>
                <c:pt idx="9">
                  <c:v>45064</c:v>
                </c:pt>
                <c:pt idx="10">
                  <c:v>45065</c:v>
                </c:pt>
                <c:pt idx="11">
                  <c:v>45066</c:v>
                </c:pt>
                <c:pt idx="12">
                  <c:v>45067</c:v>
                </c:pt>
                <c:pt idx="13">
                  <c:v>45068</c:v>
                </c:pt>
                <c:pt idx="14">
                  <c:v>45069</c:v>
                </c:pt>
                <c:pt idx="15">
                  <c:v>45070</c:v>
                </c:pt>
                <c:pt idx="16">
                  <c:v>45071</c:v>
                </c:pt>
                <c:pt idx="17">
                  <c:v>45072</c:v>
                </c:pt>
                <c:pt idx="18">
                  <c:v>45073</c:v>
                </c:pt>
                <c:pt idx="19">
                  <c:v>45074</c:v>
                </c:pt>
              </c:numCache>
            </c:numRef>
          </c:cat>
          <c:val>
            <c:numRef>
              <c:f>Лист7!$E$2:$E$21</c:f>
              <c:numCache>
                <c:formatCode>General</c:formatCode>
                <c:ptCount val="20"/>
                <c:pt idx="15" formatCode="#\ ##0.00\ &quot;₴&quot;">
                  <c:v>6690</c:v>
                </c:pt>
                <c:pt idx="16" formatCode="#\ ##0.00\ &quot;₴&quot;">
                  <c:v>7584.5666533326348</c:v>
                </c:pt>
                <c:pt idx="17" formatCode="#\ ##0.00\ &quot;₴&quot;">
                  <c:v>4957.179142380598</c:v>
                </c:pt>
                <c:pt idx="18" formatCode="#\ ##0.00\ &quot;₴&quot;">
                  <c:v>2330.0918778450814</c:v>
                </c:pt>
                <c:pt idx="19" formatCode="#\ ##0.00\ &quot;₴&quot;">
                  <c:v>-296.69752922829593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7E-49A3-9FF2-F2FAA96EF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9528376"/>
        <c:axId val="349522144"/>
      </c:lineChart>
      <c:catAx>
        <c:axId val="349528376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349522144"/>
        <c:crosses val="autoZero"/>
        <c:auto val="1"/>
        <c:lblAlgn val="ctr"/>
        <c:lblOffset val="100"/>
        <c:noMultiLvlLbl val="0"/>
      </c:catAx>
      <c:valAx>
        <c:axId val="34952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\ &quot;₴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349528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[Lab7.XLSX]Лист4!Сводная таблица22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 sz="1400" b="0" i="0" u="none" strike="noStrike" baseline="0">
                <a:effectLst/>
              </a:rPr>
              <a:t>Кількості товарів в кожному із магазинів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Лист4!$A$4:$A$10</c:f>
              <c:strCache>
                <c:ptCount val="7"/>
                <c:pt idx="0">
                  <c:v>ALLO.ua</c:v>
                </c:pt>
                <c:pt idx="1">
                  <c:v>bsh-BS.in.ua</c:v>
                </c:pt>
                <c:pt idx="2">
                  <c:v>COMFY.UA</c:v>
                </c:pt>
                <c:pt idx="3">
                  <c:v>SIMPLTEHNIKA</c:v>
                </c:pt>
                <c:pt idx="4">
                  <c:v>STYLUS</c:v>
                </c:pt>
                <c:pt idx="5">
                  <c:v>Панда</c:v>
                </c:pt>
                <c:pt idx="6">
                  <c:v>ТЕХНОточка</c:v>
                </c:pt>
              </c:strCache>
            </c:strRef>
          </c:cat>
          <c:val>
            <c:numRef>
              <c:f>Лист4!$B$4:$B$10</c:f>
              <c:numCache>
                <c:formatCode>General</c:formatCode>
                <c:ptCount val="7"/>
                <c:pt idx="0">
                  <c:v>7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D-461F-937E-285639325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733128"/>
        <c:axId val="739730832"/>
      </c:barChart>
      <c:catAx>
        <c:axId val="739733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739730832"/>
        <c:crosses val="autoZero"/>
        <c:auto val="1"/>
        <c:lblAlgn val="ctr"/>
        <c:lblOffset val="100"/>
        <c:noMultiLvlLbl val="0"/>
      </c:catAx>
      <c:valAx>
        <c:axId val="73973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739733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312420</xdr:colOff>
      <xdr:row>0</xdr:row>
      <xdr:rowOff>0</xdr:rowOff>
    </xdr:from>
    <xdr:to>
      <xdr:col>15</xdr:col>
      <xdr:colOff>350520</xdr:colOff>
      <xdr:row>16</xdr:row>
      <xdr:rowOff>7620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137160</xdr:colOff>
      <xdr:row>0</xdr:row>
      <xdr:rowOff>49530</xdr:rowOff>
    </xdr:from>
    <xdr:to>
      <xdr:col>15</xdr:col>
      <xdr:colOff>175260</xdr:colOff>
      <xdr:row>16</xdr:row>
      <xdr:rowOff>57150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0</xdr:row>
      <xdr:rowOff>80010</xdr:rowOff>
    </xdr:from>
    <xdr:to>
      <xdr:col>15</xdr:col>
      <xdr:colOff>228600</xdr:colOff>
      <xdr:row>16</xdr:row>
      <xdr:rowOff>87630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156210</xdr:colOff>
      <xdr:row>0</xdr:row>
      <xdr:rowOff>179070</xdr:rowOff>
    </xdr:from>
    <xdr:to>
      <xdr:col>9</xdr:col>
      <xdr:colOff>461010</xdr:colOff>
      <xdr:row>15</xdr:row>
      <xdr:rowOff>179070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Lab7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5070.019603125002" createdVersion="6" refreshedVersion="6" minRefreshableVersion="3" recordCount="16">
  <cacheSource type="worksheet">
    <worksheetSource name="item" r:id="rId2"/>
  </cacheSource>
  <cacheFields count="5">
    <cacheField name="store_name" numFmtId="0">
      <sharedItems count="7">
        <s v="ALLO.ua"/>
        <s v="bsh-BS.in.ua"/>
        <s v="COMFY.UA"/>
        <s v="SIMPLTEHNIKA"/>
        <s v="STYLUS"/>
        <s v="ТЕХНОточка"/>
        <s v="Панда"/>
      </sharedItems>
    </cacheField>
    <cacheField name="product_name" numFmtId="0">
      <sharedItems/>
    </cacheField>
    <cacheField name="price" numFmtId="164">
      <sharedItems containsSemiMixedTypes="0" containsString="0" containsNumber="1" containsInteger="1" minValue="6690" maxValue="46999"/>
    </cacheField>
    <cacheField name="USD" numFmtId="165">
      <sharedItems containsSemiMixedTypes="0" containsString="0" containsNumber="1" minValue="180.63" maxValue="1268.973"/>
    </cacheField>
    <cacheField name="EUR" numFmtId="166">
      <sharedItems containsSemiMixedTypes="0" containsString="0" containsNumber="1" minValue="167.25" maxValue="1174.975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s v="Холодильник з морозильною камерою Liebherr CU 2831_x000a_    "/>
    <n v="17599"/>
    <n v="475.173"/>
    <n v="439.97500000000002"/>
  </r>
  <r>
    <x v="0"/>
    <s v="Холодильник з морозильною камерою Bosch KGN39VW316_x000a_    "/>
    <n v="26399"/>
    <n v="712.77300000000002"/>
    <n v="659.97500000000002"/>
  </r>
  <r>
    <x v="0"/>
    <s v="Холодильник з морозильною камерою Indesit LI6 S1E W"/>
    <n v="14499"/>
    <n v="391.47300000000001"/>
    <n v="362.47500000000002"/>
  </r>
  <r>
    <x v="0"/>
    <s v="Морозильна камера Liebherr G 1213"/>
    <n v="11199"/>
    <n v="302.37299999999999"/>
    <n v="279.97500000000002"/>
  </r>
  <r>
    <x v="1"/>
    <s v="Холодильник з морозильною камерою Bosch KGN49XI30U"/>
    <n v="35799"/>
    <n v="966.57299999999998"/>
    <n v="894.97500000000002"/>
  </r>
  <r>
    <x v="0"/>
    <s v="Холодильник з морозильною камерою Liebherr CU 2831"/>
    <n v="17599"/>
    <n v="475.173"/>
    <n v="439.97500000000002"/>
  </r>
  <r>
    <x v="2"/>
    <s v="Холодильник з морозильною камерою Whirlpool WHC20 T593 P"/>
    <n v="40699"/>
    <n v="1098.873"/>
    <n v="1017.475"/>
  </r>
  <r>
    <x v="2"/>
    <s v="Холодильник з морозильною камерою Whirlpool WHC20 T593"/>
    <n v="44999"/>
    <n v="1214.973"/>
    <n v="1124.9750000000001"/>
  </r>
  <r>
    <x v="3"/>
    <s v="Холодильник з морозильною камерою Bosch KIS87AFE0"/>
    <n v="46999"/>
    <n v="1268.973"/>
    <n v="1174.9750000000001"/>
  </r>
  <r>
    <x v="4"/>
    <s v="Холодильник з морозильною камерою Amica FD2355.4"/>
    <n v="12955"/>
    <n v="349.78499999999997"/>
    <n v="323.875"/>
  </r>
  <r>
    <x v="5"/>
    <s v="Холодильна камера Beko TS190020"/>
    <n v="6690"/>
    <n v="180.63"/>
    <n v="167.25"/>
  </r>
  <r>
    <x v="2"/>
    <s v="Холодильник з морозильною камерою Vivax CF-174 LF S"/>
    <n v="11399"/>
    <n v="307.77300000000002"/>
    <n v="284.97500000000002"/>
  </r>
  <r>
    <x v="0"/>
    <s v="Холодильник з морозильною камерою Bosch KGN39VL316"/>
    <n v="26799"/>
    <n v="723.57299999999998"/>
    <n v="669.97500000000002"/>
  </r>
  <r>
    <x v="5"/>
    <s v="Холодильник з морозильною камерою Gorenje NRK6202AXL4"/>
    <n v="26594"/>
    <n v="718.03800000000001"/>
    <n v="664.85"/>
  </r>
  <r>
    <x v="0"/>
    <s v="Холодильник з морозильною камерою Hitachi R-H330PUC7PWH"/>
    <n v="21999"/>
    <n v="593.97299999999996"/>
    <n v="549.97500000000002"/>
  </r>
  <r>
    <x v="6"/>
    <s v="Холодильник з морозильною камерою Samsung BRB307054WW"/>
    <n v="36455"/>
    <n v="984.28499999999997"/>
    <n v="911.3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2" cacheId="0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compact="0" compactData="0" multipleFieldFilters="0" chartFormat="1">
  <location ref="A3:B10" firstHeaderRow="1" firstDataRow="1" firstDataCol="1"/>
  <pivotFields count="5">
    <pivotField axis="axisRow" compact="0" outline="0" showAll="0" defaultSubtotal="0">
      <items count="7">
        <item x="0"/>
        <item x="1"/>
        <item x="2"/>
        <item x="3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Кількість product_name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queryTables/queryTable1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6" unboundColumnsRight="2">
    <queryTableFields count="5">
      <queryTableField id="1" name="store_name" tableColumnId="7"/>
      <queryTableField id="2" name="product_name" tableColumnId="8"/>
      <queryTableField id="3" name="price" tableColumnId="9"/>
      <queryTableField id="4" dataBound="0" tableColumnId="10"/>
      <queryTableField id="5" dataBound="0" tableColumnId="11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Таблица3" displayName="Таблица3" ref="A1:E21" totalsRowShown="0">
  <autoFilter ref="A1:E21"/>
  <tableColumns count="5">
    <tableColumn id="1" name="Временная шкала" dataDxfId="11"/>
    <tableColumn id="2" name="Значения"/>
    <tableColumn id="3" name="Прогноз" dataDxfId="10">
      <calculatedColumnFormula>_xlfn.FORECAST.ETS(A2,$B$2:$B$17,$A$2:$A$17,1,1)</calculatedColumnFormula>
    </tableColumn>
    <tableColumn id="4" name="Привязка низкой вероятности" dataDxfId="9">
      <calculatedColumnFormula>C2-_xlfn.FORECAST.ETS.CONFINT(A2,$B$2:$B$17,$A$2:$A$17,0.95,1,1)</calculatedColumnFormula>
    </tableColumn>
    <tableColumn id="5" name="Привязка высокой вероятности" dataDxfId="8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E21" totalsRowShown="0">
  <autoFilter ref="A1:E21"/>
  <tableColumns count="5">
    <tableColumn id="1" name="day" dataDxfId="7"/>
    <tableColumn id="2" name="price"/>
    <tableColumn id="3" name="Прогноз(price)" dataDxfId="6">
      <calculatedColumnFormula>_xlfn.FORECAST.ETS(A2,$B$2:$B$17,$A$2:$A$17,1,1)</calculatedColumnFormula>
    </tableColumn>
    <tableColumn id="4" name="Привязка низкой вероятности(price)" dataDxfId="5">
      <calculatedColumnFormula>C2-_xlfn.FORECAST.ETS.CONFINT(A2,$B$2:$B$17,$A$2:$A$17,0.95,1,1)</calculatedColumnFormula>
    </tableColumn>
    <tableColumn id="5" name="Привязка высокой вероятности(price)" dataDxfId="4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Таблица5" displayName="Таблица5" ref="A1:E21" totalsRowShown="0">
  <autoFilter ref="A1:E21"/>
  <tableColumns count="5">
    <tableColumn id="1" name="day" dataDxfId="3"/>
    <tableColumn id="2" name="price"/>
    <tableColumn id="3" name="Прогноз(price)" dataDxfId="2">
      <calculatedColumnFormula>_xlfn.FORECAST.ETS(A2,$B$2:$B$17,$A$2:$A$17,1,1)</calculatedColumnFormula>
    </tableColumn>
    <tableColumn id="4" name="Привязка низкой вероятности(price)" dataDxfId="1">
      <calculatedColumnFormula>C2-_xlfn.FORECAST.ETS.CONFINT(A2,$B$2:$B$17,$A$2:$A$17,0.95,1,1)</calculatedColumnFormula>
    </tableColumn>
    <tableColumn id="5" name="Привязка высокой вероятности(price)" dataDxfId="0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item" displayName="item" ref="A1:E17" tableType="queryTable" totalsRowShown="0">
  <autoFilter ref="A1:E17">
    <filterColumn colId="2">
      <dynamicFilter type="aboveAverage" val="24917.625"/>
    </filterColumn>
  </autoFilter>
  <sortState ref="A2:E17">
    <sortCondition descending="1" ref="C1:C17"/>
  </sortState>
  <tableColumns count="5">
    <tableColumn id="7" uniqueName="7" name="store_name" queryTableFieldId="1" dataDxfId="16"/>
    <tableColumn id="8" uniqueName="8" name="product_name" queryTableFieldId="2" dataDxfId="15"/>
    <tableColumn id="9" uniqueName="9" name="price" queryTableFieldId="3" dataDxfId="14"/>
    <tableColumn id="10" uniqueName="10" name="USD" queryTableFieldId="4" dataDxfId="13">
      <calculatedColumnFormula>item[[#This Row],[price]]*$Q$2</calculatedColumnFormula>
    </tableColumn>
    <tableColumn id="11" uniqueName="11" name="EUR" queryTableFieldId="5" dataDxfId="12">
      <calculatedColumnFormula>item[[#This Row],[price]]*$R$2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C25" sqref="C25"/>
    </sheetView>
  </sheetViews>
  <sheetFormatPr defaultRowHeight="14.4" x14ac:dyDescent="0.3"/>
  <cols>
    <col min="1" max="1" width="18.77734375" customWidth="1"/>
    <col min="2" max="2" width="11.21875" customWidth="1"/>
    <col min="3" max="3" width="10.33203125" bestFit="1" customWidth="1"/>
    <col min="4" max="4" width="29.44140625" customWidth="1"/>
    <col min="5" max="5" width="30.77734375" customWidth="1"/>
  </cols>
  <sheetData>
    <row r="1" spans="1:5" x14ac:dyDescent="0.3">
      <c r="A1" t="s">
        <v>36</v>
      </c>
      <c r="B1" t="s">
        <v>37</v>
      </c>
      <c r="C1" t="s">
        <v>38</v>
      </c>
      <c r="D1" t="s">
        <v>39</v>
      </c>
      <c r="E1" t="s">
        <v>40</v>
      </c>
    </row>
    <row r="2" spans="1:5" x14ac:dyDescent="0.3">
      <c r="A2" s="8">
        <v>45055</v>
      </c>
      <c r="B2" s="9">
        <v>17599</v>
      </c>
    </row>
    <row r="3" spans="1:5" x14ac:dyDescent="0.3">
      <c r="A3" s="8">
        <v>45056</v>
      </c>
      <c r="B3" s="9">
        <v>26399</v>
      </c>
    </row>
    <row r="4" spans="1:5" x14ac:dyDescent="0.3">
      <c r="A4" s="8">
        <v>45057</v>
      </c>
      <c r="B4" s="9">
        <v>14499</v>
      </c>
    </row>
    <row r="5" spans="1:5" x14ac:dyDescent="0.3">
      <c r="A5" s="8">
        <v>45058</v>
      </c>
      <c r="B5" s="9">
        <v>11199</v>
      </c>
    </row>
    <row r="6" spans="1:5" x14ac:dyDescent="0.3">
      <c r="A6" s="8">
        <v>45059</v>
      </c>
      <c r="B6" s="9">
        <v>35799</v>
      </c>
    </row>
    <row r="7" spans="1:5" x14ac:dyDescent="0.3">
      <c r="A7" s="8">
        <v>45060</v>
      </c>
      <c r="B7" s="9">
        <v>17599</v>
      </c>
    </row>
    <row r="8" spans="1:5" x14ac:dyDescent="0.3">
      <c r="A8" s="8">
        <v>45061</v>
      </c>
      <c r="B8" s="9">
        <v>40699</v>
      </c>
    </row>
    <row r="9" spans="1:5" x14ac:dyDescent="0.3">
      <c r="A9" s="8">
        <v>45062</v>
      </c>
      <c r="B9" s="9">
        <v>44999</v>
      </c>
    </row>
    <row r="10" spans="1:5" x14ac:dyDescent="0.3">
      <c r="A10" s="8">
        <v>45063</v>
      </c>
      <c r="B10" s="9">
        <v>46999</v>
      </c>
    </row>
    <row r="11" spans="1:5" x14ac:dyDescent="0.3">
      <c r="A11" s="8">
        <v>45064</v>
      </c>
      <c r="B11" s="9">
        <v>12955</v>
      </c>
    </row>
    <row r="12" spans="1:5" x14ac:dyDescent="0.3">
      <c r="A12" s="8">
        <v>45065</v>
      </c>
      <c r="B12" s="9">
        <v>6690</v>
      </c>
    </row>
    <row r="13" spans="1:5" x14ac:dyDescent="0.3">
      <c r="A13" s="8">
        <v>45066</v>
      </c>
      <c r="B13" s="9">
        <v>11399</v>
      </c>
    </row>
    <row r="14" spans="1:5" x14ac:dyDescent="0.3">
      <c r="A14" s="8">
        <v>45067</v>
      </c>
      <c r="B14" s="9">
        <v>26799</v>
      </c>
    </row>
    <row r="15" spans="1:5" x14ac:dyDescent="0.3">
      <c r="A15" s="8">
        <v>45068</v>
      </c>
      <c r="B15" s="9">
        <v>26594</v>
      </c>
    </row>
    <row r="16" spans="1:5" x14ac:dyDescent="0.3">
      <c r="A16" s="8">
        <v>45069</v>
      </c>
      <c r="B16" s="9">
        <v>21999</v>
      </c>
    </row>
    <row r="17" spans="1:5" x14ac:dyDescent="0.3">
      <c r="A17" s="8">
        <v>45070</v>
      </c>
      <c r="B17" s="9">
        <v>36455</v>
      </c>
      <c r="C17" s="9">
        <v>36455</v>
      </c>
      <c r="D17" s="9">
        <v>36455</v>
      </c>
      <c r="E17" s="9">
        <v>36455</v>
      </c>
    </row>
    <row r="18" spans="1:5" x14ac:dyDescent="0.3">
      <c r="A18" s="8">
        <v>45071</v>
      </c>
      <c r="C18" s="9">
        <f>_xlfn.FORECAST.ETS(A18,$B$2:$B$17,$A$2:$A$17,1,1)</f>
        <v>26548.425155451812</v>
      </c>
      <c r="D18" s="9">
        <f>C18-_xlfn.FORECAST.ETS.CONFINT(A18,$B$2:$B$17,$A$2:$A$17,0.95,1,1)</f>
        <v>632.80901410345177</v>
      </c>
      <c r="E18" s="9">
        <f>C18+_xlfn.FORECAST.ETS.CONFINT(A18,$B$2:$B$17,$A$2:$A$17,0.95,1,1)</f>
        <v>52464.041296800176</v>
      </c>
    </row>
    <row r="19" spans="1:5" x14ac:dyDescent="0.3">
      <c r="A19" s="8">
        <v>45072</v>
      </c>
      <c r="C19" s="9">
        <f>_xlfn.FORECAST.ETS(A19,$B$2:$B$17,$A$2:$A$17,1,1)</f>
        <v>26871.231392320533</v>
      </c>
      <c r="D19" s="9">
        <f>C19-_xlfn.FORECAST.ETS.CONFINT(A19,$B$2:$B$17,$A$2:$A$17,0.95,1,1)</f>
        <v>823.76804103179165</v>
      </c>
      <c r="E19" s="9">
        <f>C19+_xlfn.FORECAST.ETS.CONFINT(A19,$B$2:$B$17,$A$2:$A$17,0.95,1,1)</f>
        <v>52918.694743609274</v>
      </c>
    </row>
    <row r="20" spans="1:5" x14ac:dyDescent="0.3">
      <c r="A20" s="8">
        <v>45073</v>
      </c>
      <c r="C20" s="9">
        <f>_xlfn.FORECAST.ETS(A20,$B$2:$B$17,$A$2:$A$17,1,1)</f>
        <v>27194.037629189272</v>
      </c>
      <c r="D20" s="9">
        <f>C20-_xlfn.FORECAST.ETS.CONFINT(A20,$B$2:$B$17,$A$2:$A$17,0.95,1,1)</f>
        <v>1012.7872240382349</v>
      </c>
      <c r="E20" s="9">
        <f>C20+_xlfn.FORECAST.ETS.CONFINT(A20,$B$2:$B$17,$A$2:$A$17,0.95,1,1)</f>
        <v>53375.288034340309</v>
      </c>
    </row>
    <row r="21" spans="1:5" x14ac:dyDescent="0.3">
      <c r="A21" s="8">
        <v>45074</v>
      </c>
      <c r="C21" s="9">
        <f>_xlfn.FORECAST.ETS(A21,$B$2:$B$17,$A$2:$A$17,1,1)</f>
        <v>27516.843866057996</v>
      </c>
      <c r="D21" s="9">
        <f>C21-_xlfn.FORECAST.ETS.CONFINT(A21,$B$2:$B$17,$A$2:$A$17,0.95,1,1)</f>
        <v>1199.8706273758944</v>
      </c>
      <c r="E21" s="9">
        <f>C21+_xlfn.FORECAST.ETS.CONFINT(A21,$B$2:$B$17,$A$2:$A$17,0.95,1,1)</f>
        <v>53833.817104740097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A2" sqref="A2:A17"/>
    </sheetView>
  </sheetViews>
  <sheetFormatPr defaultRowHeight="14.4" x14ac:dyDescent="0.3"/>
  <cols>
    <col min="1" max="1" width="10.109375" bestFit="1" customWidth="1"/>
    <col min="2" max="2" width="10.33203125" bestFit="1" customWidth="1"/>
    <col min="3" max="3" width="15.5546875" customWidth="1"/>
    <col min="4" max="4" width="34.88671875" customWidth="1"/>
    <col min="5" max="5" width="36.21875" customWidth="1"/>
  </cols>
  <sheetData>
    <row r="1" spans="1:5" x14ac:dyDescent="0.3">
      <c r="A1" t="s">
        <v>35</v>
      </c>
      <c r="B1" t="s">
        <v>2</v>
      </c>
      <c r="C1" t="s">
        <v>41</v>
      </c>
      <c r="D1" t="s">
        <v>42</v>
      </c>
      <c r="E1" t="s">
        <v>43</v>
      </c>
    </row>
    <row r="2" spans="1:5" x14ac:dyDescent="0.3">
      <c r="A2" s="8">
        <v>45055</v>
      </c>
      <c r="B2" s="9">
        <v>6690</v>
      </c>
    </row>
    <row r="3" spans="1:5" x14ac:dyDescent="0.3">
      <c r="A3" s="8">
        <v>45056</v>
      </c>
      <c r="B3" s="9">
        <v>11199</v>
      </c>
    </row>
    <row r="4" spans="1:5" x14ac:dyDescent="0.3">
      <c r="A4" s="8">
        <v>45057</v>
      </c>
      <c r="B4" s="9">
        <v>11399</v>
      </c>
    </row>
    <row r="5" spans="1:5" x14ac:dyDescent="0.3">
      <c r="A5" s="8">
        <v>45058</v>
      </c>
      <c r="B5" s="9">
        <v>12955</v>
      </c>
    </row>
    <row r="6" spans="1:5" x14ac:dyDescent="0.3">
      <c r="A6" s="8">
        <v>45059</v>
      </c>
      <c r="B6" s="9">
        <v>14499</v>
      </c>
    </row>
    <row r="7" spans="1:5" x14ac:dyDescent="0.3">
      <c r="A7" s="8">
        <v>45060</v>
      </c>
      <c r="B7" s="9">
        <v>17599</v>
      </c>
    </row>
    <row r="8" spans="1:5" x14ac:dyDescent="0.3">
      <c r="A8" s="8">
        <v>45061</v>
      </c>
      <c r="B8" s="9">
        <v>17599</v>
      </c>
    </row>
    <row r="9" spans="1:5" x14ac:dyDescent="0.3">
      <c r="A9" s="8">
        <v>45062</v>
      </c>
      <c r="B9" s="9">
        <v>21999</v>
      </c>
    </row>
    <row r="10" spans="1:5" x14ac:dyDescent="0.3">
      <c r="A10" s="8">
        <v>45063</v>
      </c>
      <c r="B10" s="9">
        <v>26399</v>
      </c>
    </row>
    <row r="11" spans="1:5" x14ac:dyDescent="0.3">
      <c r="A11" s="8">
        <v>45064</v>
      </c>
      <c r="B11" s="9">
        <v>26594</v>
      </c>
    </row>
    <row r="12" spans="1:5" x14ac:dyDescent="0.3">
      <c r="A12" s="8">
        <v>45065</v>
      </c>
      <c r="B12" s="9">
        <v>26799</v>
      </c>
    </row>
    <row r="13" spans="1:5" x14ac:dyDescent="0.3">
      <c r="A13" s="8">
        <v>45066</v>
      </c>
      <c r="B13" s="9">
        <v>35799</v>
      </c>
    </row>
    <row r="14" spans="1:5" x14ac:dyDescent="0.3">
      <c r="A14" s="8">
        <v>45067</v>
      </c>
      <c r="B14" s="9">
        <v>36455</v>
      </c>
    </row>
    <row r="15" spans="1:5" x14ac:dyDescent="0.3">
      <c r="A15" s="8">
        <v>45068</v>
      </c>
      <c r="B15" s="9">
        <v>40699</v>
      </c>
    </row>
    <row r="16" spans="1:5" x14ac:dyDescent="0.3">
      <c r="A16" s="8">
        <v>45069</v>
      </c>
      <c r="B16" s="9">
        <v>44999</v>
      </c>
    </row>
    <row r="17" spans="1:5" x14ac:dyDescent="0.3">
      <c r="A17" s="8">
        <v>45070</v>
      </c>
      <c r="B17" s="9">
        <v>46999</v>
      </c>
      <c r="C17" s="9">
        <v>46999</v>
      </c>
      <c r="D17" s="9">
        <v>46999</v>
      </c>
      <c r="E17" s="9">
        <v>46999</v>
      </c>
    </row>
    <row r="18" spans="1:5" x14ac:dyDescent="0.3">
      <c r="A18" s="8">
        <v>45071</v>
      </c>
      <c r="C18" s="9">
        <f>_xlfn.FORECAST.ETS(A18,$B$2:$B$17,$A$2:$A$17,1,1)</f>
        <v>51195.586237006188</v>
      </c>
      <c r="D18" s="9">
        <f>C18-_xlfn.FORECAST.ETS.CONFINT(A18,$B$2:$B$17,$A$2:$A$17,0.95,1,1)</f>
        <v>46378.233192710104</v>
      </c>
      <c r="E18" s="9">
        <f>C18+_xlfn.FORECAST.ETS.CONFINT(A18,$B$2:$B$17,$A$2:$A$17,0.95,1,1)</f>
        <v>56012.939281302271</v>
      </c>
    </row>
    <row r="19" spans="1:5" x14ac:dyDescent="0.3">
      <c r="A19" s="8">
        <v>45072</v>
      </c>
      <c r="C19" s="9">
        <f>_xlfn.FORECAST.ETS(A19,$B$2:$B$17,$A$2:$A$17,1,1)</f>
        <v>54411.028473724429</v>
      </c>
      <c r="D19" s="9">
        <f>C19-_xlfn.FORECAST.ETS.CONFINT(A19,$B$2:$B$17,$A$2:$A$17,0.95,1,1)</f>
        <v>47601.66799472487</v>
      </c>
      <c r="E19" s="9">
        <f>C19+_xlfn.FORECAST.ETS.CONFINT(A19,$B$2:$B$17,$A$2:$A$17,0.95,1,1)</f>
        <v>61220.388952723988</v>
      </c>
    </row>
    <row r="20" spans="1:5" x14ac:dyDescent="0.3">
      <c r="A20" s="8">
        <v>45073</v>
      </c>
      <c r="C20" s="9">
        <f>_xlfn.FORECAST.ETS(A20,$B$2:$B$17,$A$2:$A$17,1,1)</f>
        <v>57626.470710442663</v>
      </c>
      <c r="D20" s="9">
        <f>C20-_xlfn.FORECAST.ETS.CONFINT(A20,$B$2:$B$17,$A$2:$A$17,0.95,1,1)</f>
        <v>47704.588584881654</v>
      </c>
      <c r="E20" s="9">
        <f>C20+_xlfn.FORECAST.ETS.CONFINT(A20,$B$2:$B$17,$A$2:$A$17,0.95,1,1)</f>
        <v>67548.352836003673</v>
      </c>
    </row>
    <row r="21" spans="1:5" x14ac:dyDescent="0.3">
      <c r="A21" s="8">
        <v>45074</v>
      </c>
      <c r="C21" s="9">
        <f>_xlfn.FORECAST.ETS(A21,$B$2:$B$17,$A$2:$A$17,1,1)</f>
        <v>60841.912947160898</v>
      </c>
      <c r="D21" s="9">
        <f>C21-_xlfn.FORECAST.ETS.CONFINT(A21,$B$2:$B$17,$A$2:$A$17,0.95,1,1)</f>
        <v>47021.89006350204</v>
      </c>
      <c r="E21" s="9">
        <f>C21+_xlfn.FORECAST.ETS.CONFINT(A21,$B$2:$B$17,$A$2:$A$17,0.95,1,1)</f>
        <v>74661.935830819755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D29" sqref="D29:D30"/>
    </sheetView>
  </sheetViews>
  <sheetFormatPr defaultRowHeight="14.4" x14ac:dyDescent="0.3"/>
  <cols>
    <col min="1" max="1" width="10.109375" bestFit="1" customWidth="1"/>
    <col min="2" max="2" width="10.33203125" bestFit="1" customWidth="1"/>
    <col min="3" max="3" width="15.5546875" customWidth="1"/>
    <col min="4" max="4" width="34.88671875" customWidth="1"/>
    <col min="5" max="5" width="36.21875" customWidth="1"/>
  </cols>
  <sheetData>
    <row r="1" spans="1:5" x14ac:dyDescent="0.3">
      <c r="A1" t="s">
        <v>35</v>
      </c>
      <c r="B1" t="s">
        <v>2</v>
      </c>
      <c r="C1" t="s">
        <v>41</v>
      </c>
      <c r="D1" t="s">
        <v>42</v>
      </c>
      <c r="E1" t="s">
        <v>43</v>
      </c>
    </row>
    <row r="2" spans="1:5" x14ac:dyDescent="0.3">
      <c r="A2" s="8">
        <v>45055</v>
      </c>
      <c r="B2" s="9">
        <v>46999</v>
      </c>
    </row>
    <row r="3" spans="1:5" x14ac:dyDescent="0.3">
      <c r="A3" s="8">
        <v>45056</v>
      </c>
      <c r="B3" s="9">
        <v>44999</v>
      </c>
    </row>
    <row r="4" spans="1:5" x14ac:dyDescent="0.3">
      <c r="A4" s="8">
        <v>45057</v>
      </c>
      <c r="B4" s="9">
        <v>40699</v>
      </c>
    </row>
    <row r="5" spans="1:5" x14ac:dyDescent="0.3">
      <c r="A5" s="8">
        <v>45058</v>
      </c>
      <c r="B5" s="9">
        <v>36455</v>
      </c>
    </row>
    <row r="6" spans="1:5" x14ac:dyDescent="0.3">
      <c r="A6" s="8">
        <v>45059</v>
      </c>
      <c r="B6" s="9">
        <v>35799</v>
      </c>
    </row>
    <row r="7" spans="1:5" x14ac:dyDescent="0.3">
      <c r="A7" s="8">
        <v>45060</v>
      </c>
      <c r="B7" s="9">
        <v>26799</v>
      </c>
    </row>
    <row r="8" spans="1:5" x14ac:dyDescent="0.3">
      <c r="A8" s="8">
        <v>45061</v>
      </c>
      <c r="B8" s="9">
        <v>26594</v>
      </c>
    </row>
    <row r="9" spans="1:5" x14ac:dyDescent="0.3">
      <c r="A9" s="8">
        <v>45062</v>
      </c>
      <c r="B9" s="9">
        <v>26399</v>
      </c>
    </row>
    <row r="10" spans="1:5" x14ac:dyDescent="0.3">
      <c r="A10" s="8">
        <v>45063</v>
      </c>
      <c r="B10" s="9">
        <v>21999</v>
      </c>
    </row>
    <row r="11" spans="1:5" x14ac:dyDescent="0.3">
      <c r="A11" s="8">
        <v>45064</v>
      </c>
      <c r="B11" s="9">
        <v>17599</v>
      </c>
    </row>
    <row r="12" spans="1:5" x14ac:dyDescent="0.3">
      <c r="A12" s="8">
        <v>45065</v>
      </c>
      <c r="B12" s="9">
        <v>17599</v>
      </c>
    </row>
    <row r="13" spans="1:5" x14ac:dyDescent="0.3">
      <c r="A13" s="8">
        <v>45066</v>
      </c>
      <c r="B13" s="9">
        <v>14499</v>
      </c>
    </row>
    <row r="14" spans="1:5" x14ac:dyDescent="0.3">
      <c r="A14" s="8">
        <v>45067</v>
      </c>
      <c r="B14" s="9">
        <v>12955</v>
      </c>
    </row>
    <row r="15" spans="1:5" x14ac:dyDescent="0.3">
      <c r="A15" s="8">
        <v>45068</v>
      </c>
      <c r="B15" s="9">
        <v>11399</v>
      </c>
    </row>
    <row r="16" spans="1:5" x14ac:dyDescent="0.3">
      <c r="A16" s="8">
        <v>45069</v>
      </c>
      <c r="B16" s="9">
        <v>11199</v>
      </c>
    </row>
    <row r="17" spans="1:5" x14ac:dyDescent="0.3">
      <c r="A17" s="8">
        <v>45070</v>
      </c>
      <c r="B17" s="9">
        <v>6690</v>
      </c>
      <c r="C17" s="9">
        <v>6690</v>
      </c>
      <c r="D17" s="9">
        <v>6690</v>
      </c>
      <c r="E17" s="9">
        <v>6690</v>
      </c>
    </row>
    <row r="18" spans="1:5" x14ac:dyDescent="0.3">
      <c r="A18" s="8">
        <v>45071</v>
      </c>
      <c r="C18" s="9">
        <f>_xlfn.FORECAST.ETS(A18,$B$2:$B$17,$A$2:$A$17,1,1)</f>
        <v>2740.7427355855671</v>
      </c>
      <c r="D18" s="9">
        <f>C18-_xlfn.FORECAST.ETS.CONFINT(A18,$B$2:$B$17,$A$2:$A$17,0.95,1,1)</f>
        <v>-2103.0811821615007</v>
      </c>
      <c r="E18" s="9">
        <f>C18+_xlfn.FORECAST.ETS.CONFINT(A18,$B$2:$B$17,$A$2:$A$17,0.95,1,1)</f>
        <v>7584.5666533326348</v>
      </c>
    </row>
    <row r="19" spans="1:5" x14ac:dyDescent="0.3">
      <c r="A19" s="8">
        <v>45072</v>
      </c>
      <c r="C19" s="9">
        <f>_xlfn.FORECAST.ETS(A19,$B$2:$B$17,$A$2:$A$17,1,1)</f>
        <v>74.448460910892308</v>
      </c>
      <c r="D19" s="9">
        <f>C19-_xlfn.FORECAST.ETS.CONFINT(A19,$B$2:$B$17,$A$2:$A$17,0.95,1,1)</f>
        <v>-4808.2822205588136</v>
      </c>
      <c r="E19" s="9">
        <f>C19+_xlfn.FORECAST.ETS.CONFINT(A19,$B$2:$B$17,$A$2:$A$17,0.95,1,1)</f>
        <v>4957.179142380598</v>
      </c>
    </row>
    <row r="20" spans="1:5" x14ac:dyDescent="0.3">
      <c r="A20" s="8">
        <v>45073</v>
      </c>
      <c r="C20" s="9">
        <f>_xlfn.FORECAST.ETS(A20,$B$2:$B$17,$A$2:$A$17,1,1)</f>
        <v>-2591.845813763779</v>
      </c>
      <c r="D20" s="9">
        <f>C20-_xlfn.FORECAST.ETS.CONFINT(A20,$B$2:$B$17,$A$2:$A$17,0.95,1,1)</f>
        <v>-7513.7835053726394</v>
      </c>
      <c r="E20" s="9">
        <f>C20+_xlfn.FORECAST.ETS.CONFINT(A20,$B$2:$B$17,$A$2:$A$17,0.95,1,1)</f>
        <v>2330.0918778450814</v>
      </c>
    </row>
    <row r="21" spans="1:5" x14ac:dyDescent="0.3">
      <c r="A21" s="8">
        <v>45074</v>
      </c>
      <c r="C21" s="9">
        <f>_xlfn.FORECAST.ETS(A21,$B$2:$B$17,$A$2:$A$17,1,1)</f>
        <v>-5258.1400884384539</v>
      </c>
      <c r="D21" s="9">
        <f>C21-_xlfn.FORECAST.ETS.CONFINT(A21,$B$2:$B$17,$A$2:$A$17,0.95,1,1)</f>
        <v>-10219.582647648611</v>
      </c>
      <c r="E21" s="9">
        <f>C21+_xlfn.FORECAST.ETS.CONFINT(A21,$B$2:$B$17,$A$2:$A$17,0.95,1,1)</f>
        <v>-296.69752922829593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0"/>
  <sheetViews>
    <sheetView workbookViewId="0">
      <selection activeCell="C30" sqref="C30"/>
    </sheetView>
  </sheetViews>
  <sheetFormatPr defaultRowHeight="14.4" x14ac:dyDescent="0.3"/>
  <cols>
    <col min="1" max="1" width="13.33203125" bestFit="1" customWidth="1"/>
    <col min="2" max="2" width="21.88671875" bestFit="1" customWidth="1"/>
  </cols>
  <sheetData>
    <row r="3" spans="1:2" x14ac:dyDescent="0.3">
      <c r="A3" s="7" t="s">
        <v>0</v>
      </c>
      <c r="B3" t="s">
        <v>44</v>
      </c>
    </row>
    <row r="4" spans="1:2" x14ac:dyDescent="0.3">
      <c r="A4" t="s">
        <v>3</v>
      </c>
      <c r="B4" s="1">
        <v>7</v>
      </c>
    </row>
    <row r="5" spans="1:2" x14ac:dyDescent="0.3">
      <c r="A5" t="s">
        <v>6</v>
      </c>
      <c r="B5" s="1">
        <v>1</v>
      </c>
    </row>
    <row r="6" spans="1:2" x14ac:dyDescent="0.3">
      <c r="A6" t="s">
        <v>9</v>
      </c>
      <c r="B6" s="1">
        <v>3</v>
      </c>
    </row>
    <row r="7" spans="1:2" x14ac:dyDescent="0.3">
      <c r="A7" t="s">
        <v>12</v>
      </c>
      <c r="B7" s="1">
        <v>1</v>
      </c>
    </row>
    <row r="8" spans="1:2" x14ac:dyDescent="0.3">
      <c r="A8" t="s">
        <v>14</v>
      </c>
      <c r="B8" s="1">
        <v>1</v>
      </c>
    </row>
    <row r="9" spans="1:2" x14ac:dyDescent="0.3">
      <c r="A9" t="s">
        <v>22</v>
      </c>
      <c r="B9" s="1">
        <v>1</v>
      </c>
    </row>
    <row r="10" spans="1:2" x14ac:dyDescent="0.3">
      <c r="A10" t="s">
        <v>16</v>
      </c>
      <c r="B10" s="1">
        <v>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Views>
    <sheetView zoomScale="97" workbookViewId="0">
      <selection activeCell="L2" sqref="L2"/>
    </sheetView>
  </sheetViews>
  <sheetFormatPr defaultRowHeight="14.4" x14ac:dyDescent="0.3"/>
  <cols>
    <col min="1" max="1" width="13.21875" bestFit="1" customWidth="1"/>
    <col min="2" max="2" width="15.77734375" bestFit="1" customWidth="1"/>
    <col min="3" max="3" width="10.88671875" bestFit="1" customWidth="1"/>
    <col min="4" max="4" width="9.5546875" bestFit="1" customWidth="1"/>
    <col min="5" max="5" width="10" bestFit="1" customWidth="1"/>
    <col min="12" max="15" width="9" bestFit="1" customWidth="1"/>
    <col min="17" max="18" width="9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t="s">
        <v>26</v>
      </c>
      <c r="E1" t="s">
        <v>27</v>
      </c>
      <c r="L1" t="s">
        <v>34</v>
      </c>
      <c r="M1" t="s">
        <v>33</v>
      </c>
      <c r="N1" t="s">
        <v>32</v>
      </c>
      <c r="O1" s="6" t="s">
        <v>31</v>
      </c>
      <c r="P1" t="s">
        <v>30</v>
      </c>
      <c r="Q1" s="3" t="s">
        <v>28</v>
      </c>
      <c r="R1" s="3" t="s">
        <v>29</v>
      </c>
    </row>
    <row r="2" spans="1:18" ht="57.6" x14ac:dyDescent="0.3">
      <c r="A2" s="2" t="s">
        <v>12</v>
      </c>
      <c r="B2" s="2" t="s">
        <v>13</v>
      </c>
      <c r="C2" s="3">
        <v>46999</v>
      </c>
      <c r="D2" s="4">
        <f>item[[#This Row],[price]]*$Q$2</f>
        <v>1268.973</v>
      </c>
      <c r="E2" s="5">
        <f>item[[#This Row],[price]]*$R$2</f>
        <v>1174.9750000000001</v>
      </c>
      <c r="L2">
        <f>SUBTOTAL(105,item[price])</f>
        <v>26399</v>
      </c>
      <c r="M2">
        <f>SUBTOTAL(104,item[price])</f>
        <v>46999</v>
      </c>
      <c r="N2">
        <f>SUBTOTAL(101,item[price])</f>
        <v>35592.875</v>
      </c>
      <c r="O2">
        <f>SUBTOTAL(109,item[price])</f>
        <v>284743</v>
      </c>
      <c r="P2">
        <f>SUBTOTAL(102,item[price])</f>
        <v>8</v>
      </c>
      <c r="Q2">
        <v>2.7E-2</v>
      </c>
      <c r="R2">
        <v>2.5000000000000001E-2</v>
      </c>
    </row>
    <row r="3" spans="1:18" ht="72" x14ac:dyDescent="0.3">
      <c r="A3" s="2" t="s">
        <v>9</v>
      </c>
      <c r="B3" s="2" t="s">
        <v>11</v>
      </c>
      <c r="C3" s="3">
        <v>44999</v>
      </c>
      <c r="D3" s="4">
        <f>item[[#This Row],[price]]*$Q$2</f>
        <v>1214.973</v>
      </c>
      <c r="E3" s="5">
        <f>item[[#This Row],[price]]*$R$2</f>
        <v>1124.9750000000001</v>
      </c>
    </row>
    <row r="4" spans="1:18" ht="72" x14ac:dyDescent="0.3">
      <c r="A4" s="2" t="s">
        <v>9</v>
      </c>
      <c r="B4" s="2" t="s">
        <v>10</v>
      </c>
      <c r="C4" s="3">
        <v>40699</v>
      </c>
      <c r="D4" s="4">
        <f>item[[#This Row],[price]]*$Q$2</f>
        <v>1098.873</v>
      </c>
      <c r="E4" s="5">
        <f>item[[#This Row],[price]]*$R$2</f>
        <v>1017.475</v>
      </c>
    </row>
    <row r="5" spans="1:18" ht="72" x14ac:dyDescent="0.3">
      <c r="A5" s="2" t="s">
        <v>22</v>
      </c>
      <c r="B5" s="2" t="s">
        <v>23</v>
      </c>
      <c r="C5" s="3">
        <v>36455</v>
      </c>
      <c r="D5" s="4">
        <f>item[[#This Row],[price]]*$Q$2</f>
        <v>984.28499999999997</v>
      </c>
      <c r="E5" s="5">
        <f>item[[#This Row],[price]]*$R$2</f>
        <v>911.375</v>
      </c>
    </row>
    <row r="6" spans="1:18" ht="57.6" x14ac:dyDescent="0.3">
      <c r="A6" s="2" t="s">
        <v>6</v>
      </c>
      <c r="B6" s="2" t="s">
        <v>7</v>
      </c>
      <c r="C6" s="3">
        <v>35799</v>
      </c>
      <c r="D6" s="4">
        <f>item[[#This Row],[price]]*$Q$2</f>
        <v>966.57299999999998</v>
      </c>
      <c r="E6" s="5">
        <f>item[[#This Row],[price]]*$R$2</f>
        <v>894.97500000000002</v>
      </c>
    </row>
    <row r="7" spans="1:18" ht="57.6" x14ac:dyDescent="0.3">
      <c r="A7" s="2" t="s">
        <v>3</v>
      </c>
      <c r="B7" s="2" t="s">
        <v>19</v>
      </c>
      <c r="C7" s="3">
        <v>26799</v>
      </c>
      <c r="D7" s="4">
        <f>item[[#This Row],[price]]*$Q$2</f>
        <v>723.57299999999998</v>
      </c>
      <c r="E7" s="5">
        <f>item[[#This Row],[price]]*$R$2</f>
        <v>669.97500000000002</v>
      </c>
    </row>
    <row r="8" spans="1:18" ht="57.6" x14ac:dyDescent="0.3">
      <c r="A8" s="2" t="s">
        <v>16</v>
      </c>
      <c r="B8" s="2" t="s">
        <v>20</v>
      </c>
      <c r="C8" s="3">
        <v>26594</v>
      </c>
      <c r="D8" s="4">
        <f>item[[#This Row],[price]]*$Q$2</f>
        <v>718.03800000000001</v>
      </c>
      <c r="E8" s="5">
        <f>item[[#This Row],[price]]*$R$2</f>
        <v>664.85</v>
      </c>
    </row>
    <row r="9" spans="1:18" ht="72" x14ac:dyDescent="0.3">
      <c r="A9" s="2" t="s">
        <v>3</v>
      </c>
      <c r="B9" s="2" t="s">
        <v>25</v>
      </c>
      <c r="C9" s="3">
        <v>26399</v>
      </c>
      <c r="D9" s="4">
        <f>item[[#This Row],[price]]*$Q$2</f>
        <v>712.77300000000002</v>
      </c>
      <c r="E9" s="5">
        <f>item[[#This Row],[price]]*$R$2</f>
        <v>659.97500000000002</v>
      </c>
    </row>
    <row r="10" spans="1:18" ht="57.6" hidden="1" x14ac:dyDescent="0.3">
      <c r="A10" s="2" t="s">
        <v>3</v>
      </c>
      <c r="B10" s="2" t="s">
        <v>21</v>
      </c>
      <c r="C10" s="3">
        <v>21999</v>
      </c>
      <c r="D10" s="4">
        <f>item[[#This Row],[price]]*$Q$2</f>
        <v>593.97299999999996</v>
      </c>
      <c r="E10" s="5">
        <f>item[[#This Row],[price]]*$R$2</f>
        <v>549.97500000000002</v>
      </c>
    </row>
    <row r="11" spans="1:18" ht="72" hidden="1" x14ac:dyDescent="0.3">
      <c r="A11" s="2" t="s">
        <v>3</v>
      </c>
      <c r="B11" s="2" t="s">
        <v>24</v>
      </c>
      <c r="C11" s="3">
        <v>17599</v>
      </c>
      <c r="D11" s="4">
        <f>item[[#This Row],[price]]*$Q$2</f>
        <v>475.173</v>
      </c>
      <c r="E11" s="5">
        <f>item[[#This Row],[price]]*$R$2</f>
        <v>439.97500000000002</v>
      </c>
    </row>
    <row r="12" spans="1:18" ht="57.6" hidden="1" x14ac:dyDescent="0.3">
      <c r="A12" s="2" t="s">
        <v>3</v>
      </c>
      <c r="B12" s="2" t="s">
        <v>8</v>
      </c>
      <c r="C12" s="3">
        <v>17599</v>
      </c>
      <c r="D12" s="4">
        <f>item[[#This Row],[price]]*$Q$2</f>
        <v>475.173</v>
      </c>
      <c r="E12" s="5">
        <f>item[[#This Row],[price]]*$R$2</f>
        <v>439.97500000000002</v>
      </c>
    </row>
    <row r="13" spans="1:18" ht="57.6" hidden="1" x14ac:dyDescent="0.3">
      <c r="A13" s="2" t="s">
        <v>3</v>
      </c>
      <c r="B13" s="2" t="s">
        <v>4</v>
      </c>
      <c r="C13" s="3">
        <v>14499</v>
      </c>
      <c r="D13" s="4">
        <f>item[[#This Row],[price]]*$Q$2</f>
        <v>391.47300000000001</v>
      </c>
      <c r="E13" s="5">
        <f>item[[#This Row],[price]]*$R$2</f>
        <v>362.47500000000002</v>
      </c>
    </row>
    <row r="14" spans="1:18" ht="57.6" hidden="1" x14ac:dyDescent="0.3">
      <c r="A14" s="2" t="s">
        <v>14</v>
      </c>
      <c r="B14" s="2" t="s">
        <v>15</v>
      </c>
      <c r="C14" s="3">
        <v>12955</v>
      </c>
      <c r="D14" s="4">
        <f>item[[#This Row],[price]]*$Q$2</f>
        <v>349.78499999999997</v>
      </c>
      <c r="E14" s="5">
        <f>item[[#This Row],[price]]*$R$2</f>
        <v>323.875</v>
      </c>
    </row>
    <row r="15" spans="1:18" ht="57.6" hidden="1" x14ac:dyDescent="0.3">
      <c r="A15" s="2" t="s">
        <v>9</v>
      </c>
      <c r="B15" s="2" t="s">
        <v>18</v>
      </c>
      <c r="C15" s="3">
        <v>11399</v>
      </c>
      <c r="D15" s="4">
        <f>item[[#This Row],[price]]*$Q$2</f>
        <v>307.77300000000002</v>
      </c>
      <c r="E15" s="5">
        <f>item[[#This Row],[price]]*$R$2</f>
        <v>284.97500000000002</v>
      </c>
    </row>
    <row r="16" spans="1:18" ht="43.2" hidden="1" x14ac:dyDescent="0.3">
      <c r="A16" s="2" t="s">
        <v>3</v>
      </c>
      <c r="B16" s="2" t="s">
        <v>5</v>
      </c>
      <c r="C16" s="3">
        <v>11199</v>
      </c>
      <c r="D16" s="4">
        <f>item[[#This Row],[price]]*$Q$2</f>
        <v>302.37299999999999</v>
      </c>
      <c r="E16" s="5">
        <f>item[[#This Row],[price]]*$R$2</f>
        <v>279.97500000000002</v>
      </c>
    </row>
    <row r="17" spans="1:5" ht="43.2" hidden="1" x14ac:dyDescent="0.3">
      <c r="A17" s="2" t="s">
        <v>16</v>
      </c>
      <c r="B17" s="2" t="s">
        <v>17</v>
      </c>
      <c r="C17" s="3">
        <v>6690</v>
      </c>
      <c r="D17" s="4">
        <f>item[[#This Row],[price]]*$Q$2</f>
        <v>180.63</v>
      </c>
      <c r="E17" s="5">
        <f>item[[#This Row],[price]]*$R$2</f>
        <v>167.25</v>
      </c>
    </row>
  </sheetData>
  <conditionalFormatting sqref="C2:C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2D23A9-E1DF-4D43-A878-D5E9142370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Лист5</vt:lpstr>
      <vt:lpstr>Лист7</vt:lpstr>
      <vt:lpstr>Лист4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2023-05-24T06:57:34Z</dcterms:modified>
</cp:coreProperties>
</file>