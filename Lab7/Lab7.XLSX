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Лист1" sheetId="1" r:id="rId1"/>
    <sheet name="Лист4" sheetId="4" r:id="rId2"/>
    <sheet name="Лист2" sheetId="2" r:id="rId3"/>
  </sheets>
  <definedNames>
    <definedName name="ExternalData_1" localSheetId="2" hidden="1">Лист2!$A$1:$C$17</definedName>
  </definedNames>
  <calcPr calcId="162913"/>
  <pivotCaches>
    <pivotCache cacheId="36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2" l="1"/>
  <c r="O2" i="2"/>
  <c r="N2" i="2"/>
  <c r="M2" i="2"/>
  <c r="L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</calcChain>
</file>

<file path=xl/connections.xml><?xml version="1.0" encoding="utf-8"?>
<connections xmlns="http://schemas.openxmlformats.org/spreadsheetml/2006/main">
  <connection id="1" keepAlive="1" name="Запрос — item" description="Соединение с запросом &quot;item&quot; в книге." type="5" refreshedVersion="6" background="1" saveData="1">
    <dbPr connection="Provider=Microsoft.Mashup.OleDb.1;Data Source=$Workbook$;Location=item;Extended Properties=&quot;&quot;" command="SELECT * FROM [item]"/>
  </connection>
</connections>
</file>

<file path=xl/sharedStrings.xml><?xml version="1.0" encoding="utf-8"?>
<sst xmlns="http://schemas.openxmlformats.org/spreadsheetml/2006/main" count="70" uniqueCount="36">
  <si>
    <t>store_name</t>
  </si>
  <si>
    <t>product_name</t>
  </si>
  <si>
    <t>price</t>
  </si>
  <si>
    <t>ALLO.ua</t>
  </si>
  <si>
    <t>Холодильник з морозильною камерою Indesit LI6 S1E W</t>
  </si>
  <si>
    <t>Морозильна камера Liebherr G 1213</t>
  </si>
  <si>
    <t>bsh-BS.in.ua</t>
  </si>
  <si>
    <t>Холодильник з морозильною камерою Bosch KGN49XI30U</t>
  </si>
  <si>
    <t>Холодильник з морозильною камерою Liebherr CU 2831</t>
  </si>
  <si>
    <t>COMFY.UA</t>
  </si>
  <si>
    <t>Холодильник з морозильною камерою Whirlpool WHC20 T593 P</t>
  </si>
  <si>
    <t>Холодильник з морозильною камерою Whirlpool WHC20 T593</t>
  </si>
  <si>
    <t>SIMPLTEHNIKA</t>
  </si>
  <si>
    <t>Холодильник з морозильною камерою Bosch KIS87AFE0</t>
  </si>
  <si>
    <t>STYLUS</t>
  </si>
  <si>
    <t>Холодильник з морозильною камерою Amica FD2355.4</t>
  </si>
  <si>
    <t>ТЕХНОточка</t>
  </si>
  <si>
    <t>Холодильна камера Beko TS190020</t>
  </si>
  <si>
    <t>Холодильник з морозильною камерою Vivax CF-174 LF S</t>
  </si>
  <si>
    <t>Холодильник з морозильною камерою Bosch KGN39VL316</t>
  </si>
  <si>
    <t>Холодильник з морозильною камерою Gorenje NRK6202AXL4</t>
  </si>
  <si>
    <t>Холодильник з морозильною камерою Hitachi R-H330PUC7PWH</t>
  </si>
  <si>
    <t>Панда</t>
  </si>
  <si>
    <t>Холодильник з морозильною камерою Samsung BRB307054WW</t>
  </si>
  <si>
    <t xml:space="preserve">Холодильник з морозильною камерою Liebherr CU 2831
    </t>
  </si>
  <si>
    <t xml:space="preserve">Холодильник з морозильною камерою Bosch KGN39VW316
    </t>
  </si>
  <si>
    <t>USD</t>
  </si>
  <si>
    <t>EUR</t>
  </si>
  <si>
    <t>UAH/USD</t>
  </si>
  <si>
    <t>UAH/EUR</t>
  </si>
  <si>
    <t>Кількість</t>
  </si>
  <si>
    <t>Сума</t>
  </si>
  <si>
    <t>Середнє</t>
  </si>
  <si>
    <t>Максимальне</t>
  </si>
  <si>
    <t>Мінімальне</t>
  </si>
  <si>
    <t>Количество по полю 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</si>
</sst>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0" formatCode="#,##0.00\ &quot;₴&quot;"/>
    <numFmt numFmtId="171" formatCode="[$$-409]#,##0.00"/>
    <numFmt numFmtId="172" formatCode="#,##0.00\ [$€-1]"/>
  </numFmts>
  <fonts count="2" x14ac:knownFonts="1">
    <font>
      <sz val="11"/>
      <color theme="1"/>
      <name val="Calibri"/>
      <family val="2"/>
      <scheme val="minor"/>
    </font>
    <font>
      <sz val="11"/>
      <color rgb="FF3C4043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0" fontId="1" fillId="0" borderId="0" xfId="0" applyFont="1"/>
    <xf numFmtId="0" fontId="0" fillId="0" borderId="0" xfId="0" pivotButton="1"/>
  </cellXfs>
  <cellStyles count="1">
    <cellStyle name="Обычный" xfId="0" builtinId="0"/>
  </cellStyles>
  <dxfs count="5">
    <dxf>
      <numFmt numFmtId="172" formatCode="#,##0.00\ [$€-1]"/>
    </dxf>
    <dxf>
      <numFmt numFmtId="171" formatCode="[$$-409]#,##0.00"/>
    </dxf>
    <dxf>
      <numFmt numFmtId="170" formatCode="#,##0.00\ &quot;₴&quot;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[Lab7.XLSX]Лист4!Сводная таблица22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u="none" strike="noStrike" baseline="0">
                <a:effectLst/>
              </a:rPr>
              <a:t>Кількості товарів в кожному із магазинів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Лист4!$B$3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Лист4!$A$4:$A$10</c:f>
              <c:strCache>
                <c:ptCount val="7"/>
                <c:pt idx="0">
                  <c:v>ALLO.ua</c:v>
                </c:pt>
                <c:pt idx="1">
                  <c:v>bsh-BS.in.ua</c:v>
                </c:pt>
                <c:pt idx="2">
                  <c:v>COMFY.UA</c:v>
                </c:pt>
                <c:pt idx="3">
                  <c:v>SIMPLTEHNIKA</c:v>
                </c:pt>
                <c:pt idx="4">
                  <c:v>STYLUS</c:v>
                </c:pt>
                <c:pt idx="5">
                  <c:v>Панда</c:v>
                </c:pt>
                <c:pt idx="6">
                  <c:v>ТЕХНОточка</c:v>
                </c:pt>
              </c:strCache>
            </c:strRef>
          </c:cat>
          <c:val>
            <c:numRef>
              <c:f>Лист4!$B$4:$B$10</c:f>
              <c:numCache>
                <c:formatCode>General</c:formatCode>
                <c:ptCount val="7"/>
                <c:pt idx="0">
                  <c:v>7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D-461F-937E-285639325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733128"/>
        <c:axId val="739730832"/>
      </c:barChart>
      <c:catAx>
        <c:axId val="739733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39730832"/>
        <c:crosses val="autoZero"/>
        <c:auto val="1"/>
        <c:lblAlgn val="ctr"/>
        <c:lblOffset val="100"/>
        <c:noMultiLvlLbl val="0"/>
      </c:catAx>
      <c:valAx>
        <c:axId val="73973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39733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156210</xdr:colOff>
      <xdr:row>0</xdr:row>
      <xdr:rowOff>179070</xdr:rowOff>
    </xdr:from>
    <xdr:to>
      <xdr:col>9</xdr:col>
      <xdr:colOff>461010</xdr:colOff>
      <xdr:row>15</xdr:row>
      <xdr:rowOff>179070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5070.019603125002" createdVersion="6" refreshedVersion="6" minRefreshableVersion="3" recordCount="16">
  <cacheSource type="worksheet">
    <worksheetSource name="item"/>
  </cacheSource>
  <cacheFields count="5">
    <cacheField name="store_name" numFmtId="0">
      <sharedItems count="7">
        <s v="ALLO.ua"/>
        <s v="bsh-BS.in.ua"/>
        <s v="COMFY.UA"/>
        <s v="SIMPLTEHNIKA"/>
        <s v="STYLUS"/>
        <s v="ТЕХНОточка"/>
        <s v="Панда"/>
      </sharedItems>
    </cacheField>
    <cacheField name="product_name" numFmtId="0">
      <sharedItems/>
    </cacheField>
    <cacheField name="price" numFmtId="170">
      <sharedItems containsSemiMixedTypes="0" containsString="0" containsNumber="1" containsInteger="1" minValue="6690" maxValue="46999"/>
    </cacheField>
    <cacheField name="USD" numFmtId="171">
      <sharedItems containsSemiMixedTypes="0" containsString="0" containsNumber="1" minValue="180.63" maxValue="1268.973"/>
    </cacheField>
    <cacheField name="EUR" numFmtId="172">
      <sharedItems containsSemiMixedTypes="0" containsString="0" containsNumber="1" minValue="167.25" maxValue="1174.975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s v="Холодильник з морозильною камерою Liebherr CU 2831_x000a_    "/>
    <n v="17599"/>
    <n v="475.173"/>
    <n v="439.97500000000002"/>
  </r>
  <r>
    <x v="0"/>
    <s v="Холодильник з морозильною камерою Bosch KGN39VW316_x000a_    "/>
    <n v="26399"/>
    <n v="712.77300000000002"/>
    <n v="659.97500000000002"/>
  </r>
  <r>
    <x v="0"/>
    <s v="Холодильник з морозильною камерою Indesit LI6 S1E W"/>
    <n v="14499"/>
    <n v="391.47300000000001"/>
    <n v="362.47500000000002"/>
  </r>
  <r>
    <x v="0"/>
    <s v="Морозильна камера Liebherr G 1213"/>
    <n v="11199"/>
    <n v="302.37299999999999"/>
    <n v="279.97500000000002"/>
  </r>
  <r>
    <x v="1"/>
    <s v="Холодильник з морозильною камерою Bosch KGN49XI30U"/>
    <n v="35799"/>
    <n v="966.57299999999998"/>
    <n v="894.97500000000002"/>
  </r>
  <r>
    <x v="0"/>
    <s v="Холодильник з морозильною камерою Liebherr CU 2831"/>
    <n v="17599"/>
    <n v="475.173"/>
    <n v="439.97500000000002"/>
  </r>
  <r>
    <x v="2"/>
    <s v="Холодильник з морозильною камерою Whirlpool WHC20 T593 P"/>
    <n v="40699"/>
    <n v="1098.873"/>
    <n v="1017.475"/>
  </r>
  <r>
    <x v="2"/>
    <s v="Холодильник з морозильною камерою Whirlpool WHC20 T593"/>
    <n v="44999"/>
    <n v="1214.973"/>
    <n v="1124.9750000000001"/>
  </r>
  <r>
    <x v="3"/>
    <s v="Холодильник з морозильною камерою Bosch KIS87AFE0"/>
    <n v="46999"/>
    <n v="1268.973"/>
    <n v="1174.9750000000001"/>
  </r>
  <r>
    <x v="4"/>
    <s v="Холодильник з морозильною камерою Amica FD2355.4"/>
    <n v="12955"/>
    <n v="349.78499999999997"/>
    <n v="323.875"/>
  </r>
  <r>
    <x v="5"/>
    <s v="Холодильна камера Beko TS190020"/>
    <n v="6690"/>
    <n v="180.63"/>
    <n v="167.25"/>
  </r>
  <r>
    <x v="2"/>
    <s v="Холодильник з морозильною камерою Vivax CF-174 LF S"/>
    <n v="11399"/>
    <n v="307.77300000000002"/>
    <n v="284.97500000000002"/>
  </r>
  <r>
    <x v="0"/>
    <s v="Холодильник з морозильною камерою Bosch KGN39VL316"/>
    <n v="26799"/>
    <n v="723.57299999999998"/>
    <n v="669.97500000000002"/>
  </r>
  <r>
    <x v="5"/>
    <s v="Холодильник з морозильною камерою Gorenje NRK6202AXL4"/>
    <n v="26594"/>
    <n v="718.03800000000001"/>
    <n v="664.85"/>
  </r>
  <r>
    <x v="0"/>
    <s v="Холодильник з морозильною камерою Hitachi R-H330PUC7PWH"/>
    <n v="21999"/>
    <n v="593.97299999999996"/>
    <n v="549.97500000000002"/>
  </r>
  <r>
    <x v="6"/>
    <s v="Холодильник з морозильною камерою Samsung BRB307054WW"/>
    <n v="36455"/>
    <n v="984.28499999999997"/>
    <n v="911.3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22" cacheId="36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1">
  <location ref="A3:B10" firstHeaderRow="1" firstDataRow="1" firstDataCol="1"/>
  <pivotFields count="5">
    <pivotField axis="axisRow" compact="0" outline="0" showAll="0" defaultSubtotal="0">
      <items count="7">
        <item x="0"/>
        <item x="1"/>
        <item x="2"/>
        <item x="3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Количество по полю product_nam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6" unboundColumnsRight="2">
    <queryTableFields count="5">
      <queryTableField id="1" name="store_name" tableColumnId="7"/>
      <queryTableField id="2" name="product_name" tableColumnId="8"/>
      <queryTableField id="3" name="price" tableColumnId="9"/>
      <queryTableField id="4" dataBound="0" tableColumnId="10"/>
      <queryTableField id="5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item" displayName="item" ref="A1:E17" tableType="queryTable" totalsRowShown="0">
  <autoFilter ref="A1:E17"/>
  <tableColumns count="5">
    <tableColumn id="7" uniqueName="7" name="store_name" queryTableFieldId="1" dataDxfId="4"/>
    <tableColumn id="8" uniqueName="8" name="product_name" queryTableFieldId="2" dataDxfId="3"/>
    <tableColumn id="9" uniqueName="9" name="price" queryTableFieldId="3" dataDxfId="2"/>
    <tableColumn id="10" uniqueName="10" name="USD" queryTableFieldId="4" dataDxfId="1">
      <calculatedColumnFormula>item[[#This Row],[price]]*$Q$2</calculatedColumnFormula>
    </tableColumn>
    <tableColumn id="11" uniqueName="11" name="EUR" queryTableFieldId="5" dataDxfId="0">
      <calculatedColumnFormula>item[[#This Row],[price]]*$R$2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tabSelected="1" workbookViewId="0">
      <selection activeCell="F25" sqref="F25"/>
    </sheetView>
  </sheetViews>
  <sheetFormatPr defaultRowHeight="14.4" x14ac:dyDescent="0.3"/>
  <cols>
    <col min="1" max="1" width="13.33203125" bestFit="1" customWidth="1"/>
    <col min="2" max="2" width="32.44140625" bestFit="1" customWidth="1"/>
  </cols>
  <sheetData>
    <row r="3" spans="1:2" x14ac:dyDescent="0.3">
      <c r="A3" s="7" t="s">
        <v>0</v>
      </c>
      <c r="B3" t="s">
        <v>35</v>
      </c>
    </row>
    <row r="4" spans="1:2" x14ac:dyDescent="0.3">
      <c r="A4" t="s">
        <v>3</v>
      </c>
      <c r="B4" s="1">
        <v>7</v>
      </c>
    </row>
    <row r="5" spans="1:2" x14ac:dyDescent="0.3">
      <c r="A5" t="s">
        <v>6</v>
      </c>
      <c r="B5" s="1">
        <v>1</v>
      </c>
    </row>
    <row r="6" spans="1:2" x14ac:dyDescent="0.3">
      <c r="A6" t="s">
        <v>9</v>
      </c>
      <c r="B6" s="1">
        <v>3</v>
      </c>
    </row>
    <row r="7" spans="1:2" x14ac:dyDescent="0.3">
      <c r="A7" t="s">
        <v>12</v>
      </c>
      <c r="B7" s="1">
        <v>1</v>
      </c>
    </row>
    <row r="8" spans="1:2" x14ac:dyDescent="0.3">
      <c r="A8" t="s">
        <v>14</v>
      </c>
      <c r="B8" s="1">
        <v>1</v>
      </c>
    </row>
    <row r="9" spans="1:2" x14ac:dyDescent="0.3">
      <c r="A9" t="s">
        <v>22</v>
      </c>
      <c r="B9" s="1">
        <v>1</v>
      </c>
    </row>
    <row r="10" spans="1:2" x14ac:dyDescent="0.3">
      <c r="A10" t="s">
        <v>16</v>
      </c>
      <c r="B10" s="1">
        <v>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topLeftCell="C1" zoomScale="97" workbookViewId="0">
      <selection activeCell="U7" sqref="U7"/>
    </sheetView>
  </sheetViews>
  <sheetFormatPr defaultRowHeight="14.4" x14ac:dyDescent="0.3"/>
  <cols>
    <col min="1" max="1" width="13.21875" bestFit="1" customWidth="1"/>
    <col min="2" max="2" width="15.77734375" bestFit="1" customWidth="1"/>
    <col min="3" max="3" width="10.88671875" bestFit="1" customWidth="1"/>
    <col min="4" max="4" width="9.5546875" bestFit="1" customWidth="1"/>
    <col min="5" max="5" width="10" bestFit="1" customWidth="1"/>
    <col min="12" max="15" width="9" bestFit="1" customWidth="1"/>
    <col min="17" max="18" width="9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t="s">
        <v>26</v>
      </c>
      <c r="E1" t="s">
        <v>27</v>
      </c>
      <c r="L1" t="s">
        <v>34</v>
      </c>
      <c r="M1" t="s">
        <v>33</v>
      </c>
      <c r="N1" t="s">
        <v>32</v>
      </c>
      <c r="O1" s="6" t="s">
        <v>31</v>
      </c>
      <c r="P1" t="s">
        <v>30</v>
      </c>
      <c r="Q1" s="3" t="s">
        <v>28</v>
      </c>
      <c r="R1" s="3" t="s">
        <v>29</v>
      </c>
    </row>
    <row r="2" spans="1:18" ht="72" x14ac:dyDescent="0.3">
      <c r="A2" s="2" t="s">
        <v>3</v>
      </c>
      <c r="B2" s="2" t="s">
        <v>24</v>
      </c>
      <c r="C2" s="3">
        <v>17599</v>
      </c>
      <c r="D2" s="4">
        <f>item[[#This Row],[price]]*$Q$2</f>
        <v>475.173</v>
      </c>
      <c r="E2" s="5">
        <f>item[[#This Row],[price]]*$R$2</f>
        <v>439.97500000000002</v>
      </c>
      <c r="L2">
        <f>SUBTOTAL(105,item[price])</f>
        <v>6690</v>
      </c>
      <c r="M2">
        <f>SUBTOTAL(104,item[price])</f>
        <v>46999</v>
      </c>
      <c r="N2">
        <f>SUBTOTAL(101,item[price])</f>
        <v>24917.625</v>
      </c>
      <c r="O2">
        <f>SUBTOTAL(109,item[price])</f>
        <v>398682</v>
      </c>
      <c r="P2">
        <f>SUBTOTAL(102,item[price])</f>
        <v>16</v>
      </c>
      <c r="Q2">
        <v>2.7E-2</v>
      </c>
      <c r="R2">
        <v>2.5000000000000001E-2</v>
      </c>
    </row>
    <row r="3" spans="1:18" ht="72" x14ac:dyDescent="0.3">
      <c r="A3" s="2" t="s">
        <v>3</v>
      </c>
      <c r="B3" s="2" t="s">
        <v>25</v>
      </c>
      <c r="C3" s="3">
        <v>26399</v>
      </c>
      <c r="D3" s="4">
        <f>item[[#This Row],[price]]*$Q$2</f>
        <v>712.77300000000002</v>
      </c>
      <c r="E3" s="5">
        <f>item[[#This Row],[price]]*$R$2</f>
        <v>659.97500000000002</v>
      </c>
    </row>
    <row r="4" spans="1:18" ht="57.6" x14ac:dyDescent="0.3">
      <c r="A4" s="2" t="s">
        <v>3</v>
      </c>
      <c r="B4" s="2" t="s">
        <v>4</v>
      </c>
      <c r="C4" s="3">
        <v>14499</v>
      </c>
      <c r="D4" s="4">
        <f>item[[#This Row],[price]]*$Q$2</f>
        <v>391.47300000000001</v>
      </c>
      <c r="E4" s="5">
        <f>item[[#This Row],[price]]*$R$2</f>
        <v>362.47500000000002</v>
      </c>
    </row>
    <row r="5" spans="1:18" ht="43.2" x14ac:dyDescent="0.3">
      <c r="A5" s="2" t="s">
        <v>3</v>
      </c>
      <c r="B5" s="2" t="s">
        <v>5</v>
      </c>
      <c r="C5" s="3">
        <v>11199</v>
      </c>
      <c r="D5" s="4">
        <f>item[[#This Row],[price]]*$Q$2</f>
        <v>302.37299999999999</v>
      </c>
      <c r="E5" s="5">
        <f>item[[#This Row],[price]]*$R$2</f>
        <v>279.97500000000002</v>
      </c>
    </row>
    <row r="6" spans="1:18" ht="57.6" x14ac:dyDescent="0.3">
      <c r="A6" s="2" t="s">
        <v>6</v>
      </c>
      <c r="B6" s="2" t="s">
        <v>7</v>
      </c>
      <c r="C6" s="3">
        <v>35799</v>
      </c>
      <c r="D6" s="4">
        <f>item[[#This Row],[price]]*$Q$2</f>
        <v>966.57299999999998</v>
      </c>
      <c r="E6" s="5">
        <f>item[[#This Row],[price]]*$R$2</f>
        <v>894.97500000000002</v>
      </c>
    </row>
    <row r="7" spans="1:18" ht="57.6" x14ac:dyDescent="0.3">
      <c r="A7" s="2" t="s">
        <v>3</v>
      </c>
      <c r="B7" s="2" t="s">
        <v>8</v>
      </c>
      <c r="C7" s="3">
        <v>17599</v>
      </c>
      <c r="D7" s="4">
        <f>item[[#This Row],[price]]*$Q$2</f>
        <v>475.173</v>
      </c>
      <c r="E7" s="5">
        <f>item[[#This Row],[price]]*$R$2</f>
        <v>439.97500000000002</v>
      </c>
    </row>
    <row r="8" spans="1:18" ht="72" x14ac:dyDescent="0.3">
      <c r="A8" s="2" t="s">
        <v>9</v>
      </c>
      <c r="B8" s="2" t="s">
        <v>10</v>
      </c>
      <c r="C8" s="3">
        <v>40699</v>
      </c>
      <c r="D8" s="4">
        <f>item[[#This Row],[price]]*$Q$2</f>
        <v>1098.873</v>
      </c>
      <c r="E8" s="5">
        <f>item[[#This Row],[price]]*$R$2</f>
        <v>1017.475</v>
      </c>
    </row>
    <row r="9" spans="1:18" ht="72" x14ac:dyDescent="0.3">
      <c r="A9" s="2" t="s">
        <v>9</v>
      </c>
      <c r="B9" s="2" t="s">
        <v>11</v>
      </c>
      <c r="C9" s="3">
        <v>44999</v>
      </c>
      <c r="D9" s="4">
        <f>item[[#This Row],[price]]*$Q$2</f>
        <v>1214.973</v>
      </c>
      <c r="E9" s="5">
        <f>item[[#This Row],[price]]*$R$2</f>
        <v>1124.9750000000001</v>
      </c>
    </row>
    <row r="10" spans="1:18" ht="57.6" x14ac:dyDescent="0.3">
      <c r="A10" s="2" t="s">
        <v>12</v>
      </c>
      <c r="B10" s="2" t="s">
        <v>13</v>
      </c>
      <c r="C10" s="3">
        <v>46999</v>
      </c>
      <c r="D10" s="4">
        <f>item[[#This Row],[price]]*$Q$2</f>
        <v>1268.973</v>
      </c>
      <c r="E10" s="5">
        <f>item[[#This Row],[price]]*$R$2</f>
        <v>1174.9750000000001</v>
      </c>
    </row>
    <row r="11" spans="1:18" ht="57.6" x14ac:dyDescent="0.3">
      <c r="A11" s="2" t="s">
        <v>14</v>
      </c>
      <c r="B11" s="2" t="s">
        <v>15</v>
      </c>
      <c r="C11" s="3">
        <v>12955</v>
      </c>
      <c r="D11" s="4">
        <f>item[[#This Row],[price]]*$Q$2</f>
        <v>349.78499999999997</v>
      </c>
      <c r="E11" s="5">
        <f>item[[#This Row],[price]]*$R$2</f>
        <v>323.875</v>
      </c>
    </row>
    <row r="12" spans="1:18" ht="43.2" x14ac:dyDescent="0.3">
      <c r="A12" s="2" t="s">
        <v>16</v>
      </c>
      <c r="B12" s="2" t="s">
        <v>17</v>
      </c>
      <c r="C12" s="3">
        <v>6690</v>
      </c>
      <c r="D12" s="4">
        <f>item[[#This Row],[price]]*$Q$2</f>
        <v>180.63</v>
      </c>
      <c r="E12" s="5">
        <f>item[[#This Row],[price]]*$R$2</f>
        <v>167.25</v>
      </c>
    </row>
    <row r="13" spans="1:18" ht="57.6" x14ac:dyDescent="0.3">
      <c r="A13" s="2" t="s">
        <v>9</v>
      </c>
      <c r="B13" s="2" t="s">
        <v>18</v>
      </c>
      <c r="C13" s="3">
        <v>11399</v>
      </c>
      <c r="D13" s="4">
        <f>item[[#This Row],[price]]*$Q$2</f>
        <v>307.77300000000002</v>
      </c>
      <c r="E13" s="5">
        <f>item[[#This Row],[price]]*$R$2</f>
        <v>284.97500000000002</v>
      </c>
    </row>
    <row r="14" spans="1:18" ht="57.6" x14ac:dyDescent="0.3">
      <c r="A14" s="2" t="s">
        <v>3</v>
      </c>
      <c r="B14" s="2" t="s">
        <v>19</v>
      </c>
      <c r="C14" s="3">
        <v>26799</v>
      </c>
      <c r="D14" s="4">
        <f>item[[#This Row],[price]]*$Q$2</f>
        <v>723.57299999999998</v>
      </c>
      <c r="E14" s="5">
        <f>item[[#This Row],[price]]*$R$2</f>
        <v>669.97500000000002</v>
      </c>
    </row>
    <row r="15" spans="1:18" ht="57.6" x14ac:dyDescent="0.3">
      <c r="A15" s="2" t="s">
        <v>16</v>
      </c>
      <c r="B15" s="2" t="s">
        <v>20</v>
      </c>
      <c r="C15" s="3">
        <v>26594</v>
      </c>
      <c r="D15" s="4">
        <f>item[[#This Row],[price]]*$Q$2</f>
        <v>718.03800000000001</v>
      </c>
      <c r="E15" s="5">
        <f>item[[#This Row],[price]]*$R$2</f>
        <v>664.85</v>
      </c>
    </row>
    <row r="16" spans="1:18" ht="57.6" x14ac:dyDescent="0.3">
      <c r="A16" s="2" t="s">
        <v>3</v>
      </c>
      <c r="B16" s="2" t="s">
        <v>21</v>
      </c>
      <c r="C16" s="3">
        <v>21999</v>
      </c>
      <c r="D16" s="4">
        <f>item[[#This Row],[price]]*$Q$2</f>
        <v>593.97299999999996</v>
      </c>
      <c r="E16" s="5">
        <f>item[[#This Row],[price]]*$R$2</f>
        <v>549.97500000000002</v>
      </c>
    </row>
    <row r="17" spans="1:5" ht="72" x14ac:dyDescent="0.3">
      <c r="A17" s="2" t="s">
        <v>22</v>
      </c>
      <c r="B17" s="2" t="s">
        <v>23</v>
      </c>
      <c r="C17" s="3">
        <v>36455</v>
      </c>
      <c r="D17" s="4">
        <f>item[[#This Row],[price]]*$Q$2</f>
        <v>984.28499999999997</v>
      </c>
      <c r="E17" s="5">
        <f>item[[#This Row],[price]]*$R$2</f>
        <v>911.375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4DE502-0F60-4769-B8F7-94122751A7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Лист4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2023-05-23T21:31:44Z</dcterms:modified>
</cp:coreProperties>
</file>